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Master_Dataset" sheetId="2" state="visible" r:id="rId4"/>
    <sheet name="Formulas_Guide" sheetId="3" state="visible" r:id="rId5"/>
    <sheet name="AUM" sheetId="4" state="visible" r:id="rId6"/>
    <sheet name="Segment_AUM" sheetId="5" state="visible" r:id="rId7"/>
    <sheet name="Asset_Quality" sheetId="6" state="visible" r:id="rId8"/>
    <sheet name="Stage_ECL" sheetId="7" state="visible" r:id="rId9"/>
    <sheet name="Credit_Losses" sheetId="8" state="visible" r:id="rId10"/>
    <sheet name="Capital" sheetId="9" state="visible" r:id="rId11"/>
    <sheet name="Profitability" sheetId="10" state="visible" r:id="rId12"/>
    <sheet name="Liquidity" sheetId="11" state="visible" r:id="rId13"/>
    <sheet name="Risk_Notes" sheetId="12" state="visible" r:id="rId14"/>
    <sheet name="Source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<sst xmlns="http://schemas.openxmlformats.org/spreadsheetml/2006/main" count="839" uniqueCount="600">
  <si>
    <t xml:space="preserve">Mahindra &amp; Mahindra Financial Services Ltd (Mahindra Finance) — CONSOLIDATED credit-risk dataset, FY2016-17 to FY2025-26</t>
  </si>
  <si>
    <t xml:space="preserve">Basis</t>
  </si>
  <si>
    <t xml:space="preserve">CONSOLIDATED (group: Mahindra Finance + Mahindra Rural Housing Finance + Mahindra Insurance Brokers + other subsidiaries/JV), ₹ crore, years ending 31 March — same basis as the Bajaj Finance consolidated file.</t>
  </si>
  <si>
    <t xml:space="preserve">Sources</t>
  </si>
  <si>
    <t xml:space="preserve">Every blue number is typed from the consolidated financial statements in Mahindra Finance's annual reports (printed page numbers in the last column of each sheet). Nothing is estimated. FY2024-25 and FY2025-26 annual reports are still needed — those rows are yellow.</t>
  </si>
  <si>
    <t xml:space="preserve">AUM measure</t>
  </si>
  <si>
    <t xml:space="preserve">AUM = gross loans in the consolidated 'Loans' note (before impairment allowance). Net loans = balance-sheet loans after allowance.</t>
  </si>
  <si>
    <t xml:space="preserve">NPA terms</t>
  </si>
  <si>
    <t xml:space="preserve">GNPA ≡ Gross Stage 3; NNPA = Stage 3 − Stage 3 ECL. Mahindra does not print consolidated GNPA/NNPA %; they are calculated here (formulas).</t>
  </si>
  <si>
    <t xml:space="preserve">Stages</t>
  </si>
  <si>
    <t xml:space="preserve">Mahindra prints stage tables per portfolio (retail incl. finance lease, housing, SME incl. bills, trade advances). Stage figures here are their sum; the Stage_ECL sheet checks them against the Loans note.</t>
  </si>
  <si>
    <t xml:space="preserve">Accounting breaks</t>
  </si>
  <si>
    <t xml:space="preserve">FY2016-17 is previous Indian GAAP (no stages/ECL – grey). FY2017-18 uses the Ind AS restated comparatives in the FY2018-19 annual report.</t>
  </si>
  <si>
    <t xml:space="preserve">Standalone-only items</t>
  </si>
  <si>
    <t xml:space="preserve">CRAR / Tier 1 (regulatory ratios), LCR, liquidity buffer, ALM buckets and vehicle-wise product mix are reported only for the standalone company — CRAR/Tier 1 are shown from the standalone file; the rest are in Mahindra_Finance_10yr_Dataset.xlsx (standalone).</t>
  </si>
  <si>
    <t xml:space="preserve">Colour code</t>
  </si>
  <si>
    <t xml:space="preserve">Blue = figure from an annual report · Black = formula · Green = linked from another sheet · Yellow = not yet available · Grey = not applicable.</t>
  </si>
  <si>
    <t xml:space="preserve">Sheet</t>
  </si>
  <si>
    <t xml:space="preserve">What it holds</t>
  </si>
  <si>
    <t xml:space="preserve">Master_Dataset</t>
  </si>
  <si>
    <t xml:space="preserve">One row per year, every key variable, linked from the topic sheets — same layout as the Bajaj master.</t>
  </si>
  <si>
    <t xml:space="preserve">Formulas_Guide</t>
  </si>
  <si>
    <t xml:space="preserve">Every formula: plain-English version, purpose, actual Excel formula.</t>
  </si>
  <si>
    <t xml:space="preserve">AUM</t>
  </si>
  <si>
    <t xml:space="preserve">Gross and net loans, growth, average AUM.</t>
  </si>
  <si>
    <t xml:space="preserve">Segment_AUM</t>
  </si>
  <si>
    <t xml:space="preserve">Consolidated loans by product (₹ and % share) with risk tier.</t>
  </si>
  <si>
    <t xml:space="preserve">Asset_Quality</t>
  </si>
  <si>
    <t xml:space="preserve">GNPA / NNPA (₹ and %), PCR.</t>
  </si>
  <si>
    <t xml:space="preserve">Stage_ECL</t>
  </si>
  <si>
    <t xml:space="preserve">Stage 1/2/3 loans and ECL, coverage, reconciliation to the Loans note.</t>
  </si>
  <si>
    <t xml:space="preserve">Credit_Losses</t>
  </si>
  <si>
    <t xml:space="preserve">Impairment, write-offs, net provisions, credit cost.</t>
  </si>
  <si>
    <t xml:space="preserve">Capital</t>
  </si>
  <si>
    <t xml:space="preserve">CRAR/Tier 1 (standalone), net worth, borrowings, leverage, debt/equity.</t>
  </si>
  <si>
    <t xml:space="preserve">Profitability</t>
  </si>
  <si>
    <t xml:space="preserve">Income, NTI, opex, PPOP, PAT, ROA, ROE.</t>
  </si>
  <si>
    <t xml:space="preserve">Liquidity</t>
  </si>
  <si>
    <t xml:space="preserve">Cash &amp; bank balances, borrowing mix from the consolidated balance sheet.</t>
  </si>
  <si>
    <t xml:space="preserve">Risk_Notes</t>
  </si>
  <si>
    <t xml:space="preserve">Risk-management policies and credit events, from the annual reports.</t>
  </si>
  <si>
    <t xml:space="preserve">Each annual report, link, and pages used; list of gaps.</t>
  </si>
  <si>
    <t xml:space="preserve">Master dataset — Mahindra Finance (CONSOLIDATED), one row per year</t>
  </si>
  <si>
    <t xml:space="preserve">All cells link to the topic sheets (green) — edit numbers there, not here. Column order follows the Bajaj master.</t>
  </si>
  <si>
    <t xml:space="preserve">Financial year</t>
  </si>
  <si>
    <t xml:space="preserve">Company</t>
  </si>
  <si>
    <t xml:space="preserve">AUM (₹ cr)</t>
  </si>
  <si>
    <t xml:space="preserve">AUM growth %</t>
  </si>
  <si>
    <t xml:space="preserve">GNPA %</t>
  </si>
  <si>
    <t xml:space="preserve">NNPA %</t>
  </si>
  <si>
    <t xml:space="preserve">Gross NPA ₹</t>
  </si>
  <si>
    <t xml:space="preserve">Net NPA ₹</t>
  </si>
  <si>
    <t xml:space="preserve">PCR %</t>
  </si>
  <si>
    <t xml:space="preserve">Stage 2 % of loans</t>
  </si>
  <si>
    <t xml:space="preserve">Stage 3 % of loans</t>
  </si>
  <si>
    <t xml:space="preserve">Total ECL (₹ cr)</t>
  </si>
  <si>
    <t xml:space="preserve">Loan losses (₹ cr)</t>
  </si>
  <si>
    <t xml:space="preserve">Credit cost % (calc, avg AUM)</t>
  </si>
  <si>
    <t xml:space="preserve">Write-offs (₹ cr)</t>
  </si>
  <si>
    <t xml:space="preserve">CRAR % (standalone)</t>
  </si>
  <si>
    <t xml:space="preserve">Tier 1 % (standalone)</t>
  </si>
  <si>
    <t xml:space="preserve">Leverage (x)</t>
  </si>
  <si>
    <t xml:space="preserve">Debt / Equity (x)</t>
  </si>
  <si>
    <t xml:space="preserve">NTI (₹ cr)</t>
  </si>
  <si>
    <t xml:space="preserve">PAT (₹ cr, owners)</t>
  </si>
  <si>
    <t xml:space="preserve">ROA %</t>
  </si>
  <si>
    <t xml:space="preserve">ROE %</t>
  </si>
  <si>
    <t xml:space="preserve">Opex / NTI</t>
  </si>
  <si>
    <t xml:space="preserve">Loan losses / NTI</t>
  </si>
  <si>
    <t xml:space="preserve">Liquid assets (₹ cr)</t>
  </si>
  <si>
    <t xml:space="preserve">Deposits % of borrowings</t>
  </si>
  <si>
    <t xml:space="preserve">Cost of funds proxy</t>
  </si>
  <si>
    <t xml:space="preserve">FY2016-17</t>
  </si>
  <si>
    <t xml:space="preserve">Mahindra Finance (consolidated)</t>
  </si>
  <si>
    <t xml:space="preserve">FY2017-18</t>
  </si>
  <si>
    <t xml:space="preserve">FY2018-19</t>
  </si>
  <si>
    <t xml:space="preserve">FY2019-20</t>
  </si>
  <si>
    <t xml:space="preserve">FY2020-21</t>
  </si>
  <si>
    <t xml:space="preserve">FY2021-22</t>
  </si>
  <si>
    <t xml:space="preserve">FY2022-23</t>
  </si>
  <si>
    <t xml:space="preserve">FY2023-24</t>
  </si>
  <si>
    <t xml:space="preserve">FY2024-25</t>
  </si>
  <si>
    <t xml:space="preserve">FY2025-26</t>
  </si>
  <si>
    <t xml:space="preserve">Blank = not yet available (FY25–FY26 annual reports pending) or not applicable (FY17 IGAAP has no stages). CRAR/Tier 1 are standalone (regulatory) and so appear for FY25–FY26.</t>
  </si>
  <si>
    <t xml:space="preserve">Formulas guide — every calculated column, what it does and why</t>
  </si>
  <si>
    <t xml:space="preserve">t = current year, t−1 = previous year. 'Excel formula' shows the formula in the FY2023-24 row (other years use the same formula on their own row).</t>
  </si>
  <si>
    <t xml:space="preserve">#</t>
  </si>
  <si>
    <t xml:space="preserve">Column</t>
  </si>
  <si>
    <t xml:space="preserve">Plain-English formula</t>
  </si>
  <si>
    <t xml:space="preserve">Why it is there</t>
  </si>
  <si>
    <t xml:space="preserve">Excel formula (FY2023-24 row)</t>
  </si>
  <si>
    <t xml:space="preserve">Cell</t>
  </si>
  <si>
    <t xml:space="preserve">AUM(t) ÷ AUM(t−1) − 1</t>
  </si>
  <si>
    <t xml:space="preserve">Loan-book growth.</t>
  </si>
  <si>
    <t xml:space="preserve">=IF(OR(B12="",B11=""),"",B12/B11-1)</t>
  </si>
  <si>
    <t xml:space="preserve">AUM!D12</t>
  </si>
  <si>
    <t xml:space="preserve">AUM added</t>
  </si>
  <si>
    <t xml:space="preserve">AUM(t) − AUM(t−1)</t>
  </si>
  <si>
    <t xml:space="preserve">Absolute expansion.</t>
  </si>
  <si>
    <t xml:space="preserve">=IF(OR(B12="",B11=""),"",B12-B11)</t>
  </si>
  <si>
    <t xml:space="preserve">AUM!E12</t>
  </si>
  <si>
    <t xml:space="preserve">Average AUM</t>
  </si>
  <si>
    <t xml:space="preserve">(AUM(t) + AUM(t−1)) ÷ 2</t>
  </si>
  <si>
    <t xml:space="preserve">Denominator for credit cost.</t>
  </si>
  <si>
    <t xml:space="preserve">=IF(OR(B12="",B11=""),"",AVERAGE(B12,B11))</t>
  </si>
  <si>
    <t xml:space="preserve">AUM!F12</t>
  </si>
  <si>
    <t xml:space="preserve">Total loans (S1+S2+S3)</t>
  </si>
  <si>
    <t xml:space="preserve">Stage 1 + 2 + 3</t>
  </si>
  <si>
    <t xml:space="preserve">Check against AUM.</t>
  </si>
  <si>
    <t xml:space="preserve">=IF(COUNT(B12:D12)&lt;3,"",SUM(B12:D12))</t>
  </si>
  <si>
    <t xml:space="preserve">Stage_ECL!I12</t>
  </si>
  <si>
    <t xml:space="preserve">Total ECL (S1+S2+S3)</t>
  </si>
  <si>
    <t xml:space="preserve">ECL 1 + 2 + 3</t>
  </si>
  <si>
    <t xml:space="preserve">Check against Loans-note ECL.</t>
  </si>
  <si>
    <t xml:space="preserve">=IF(COUNT(E12:G12)&lt;3,"",SUM(E12:G12))</t>
  </si>
  <si>
    <t xml:space="preserve">Stage_ECL!J12</t>
  </si>
  <si>
    <t xml:space="preserve">Stage 2 %</t>
  </si>
  <si>
    <t xml:space="preserve">Stage 2 ÷ total</t>
  </si>
  <si>
    <t xml:space="preserve">Early-warning stress.</t>
  </si>
  <si>
    <t xml:space="preserve">=IF(OR(I12=""),"",C12/I12)</t>
  </si>
  <si>
    <t xml:space="preserve">Stage_ECL!K12</t>
  </si>
  <si>
    <t xml:space="preserve">Stage 3 %</t>
  </si>
  <si>
    <t xml:space="preserve">Stage 3 ÷ total</t>
  </si>
  <si>
    <t xml:space="preserve">Credit-impaired share.</t>
  </si>
  <si>
    <t xml:space="preserve">=IF(OR(I12=""),"",D12/I12)</t>
  </si>
  <si>
    <t xml:space="preserve">Stage_ECL!L12</t>
  </si>
  <si>
    <t xml:space="preserve">ECL cover Stage 1+2</t>
  </si>
  <si>
    <t xml:space="preserve">(ECL1+ECL2) ÷ (S1+S2)</t>
  </si>
  <si>
    <t xml:space="preserve">Provisioning on performing loans.</t>
  </si>
  <si>
    <t xml:space="preserve">=IF(OR(I12="",J12=""),"",(E12+F12)/(B12+C12))</t>
  </si>
  <si>
    <t xml:space="preserve">Stage_ECL!M12</t>
  </si>
  <si>
    <t xml:space="preserve">ECL cover Stage 3</t>
  </si>
  <si>
    <t xml:space="preserve">ECL3 ÷ S3</t>
  </si>
  <si>
    <t xml:space="preserve">Same as PCR.</t>
  </si>
  <si>
    <t xml:space="preserve">=IF(COUNT(D12,G12)&lt;2,"",G12/D12)</t>
  </si>
  <si>
    <t xml:space="preserve">Stage_ECL!N12</t>
  </si>
  <si>
    <t xml:space="preserve">Total ECL / loans</t>
  </si>
  <si>
    <t xml:space="preserve">Total ECL ÷ total loans</t>
  </si>
  <si>
    <t xml:space="preserve">Overall cushion.</t>
  </si>
  <si>
    <t xml:space="preserve">=IF(OR(I12="",J12=""),"",J12/I12)</t>
  </si>
  <si>
    <t xml:space="preserve">Stage_ECL!O12</t>
  </si>
  <si>
    <t xml:space="preserve">Gap: AUM − stage total</t>
  </si>
  <si>
    <t xml:space="preserve">AUM − (S1+S2+S3)</t>
  </si>
  <si>
    <t xml:space="preserve">Reconciliation check.</t>
  </si>
  <si>
    <t xml:space="preserve">=IF(OR(I12="",AUM!B12=""),"",AUM!B12-I12)</t>
  </si>
  <si>
    <t xml:space="preserve">Stage_ECL!P12</t>
  </si>
  <si>
    <t xml:space="preserve">Gap: Loans-note ECL − stage ECL</t>
  </si>
  <si>
    <t xml:space="preserve">Reported ECL − summed ECL</t>
  </si>
  <si>
    <t xml:space="preserve">=IF(COUNT(H12)&lt;1,"",IF(J12="","",H12-J12))</t>
  </si>
  <si>
    <t xml:space="preserve">Stage_ECL!Q12</t>
  </si>
  <si>
    <t xml:space="preserve">Net NPA ₹ (calc)</t>
  </si>
  <si>
    <t xml:space="preserve">GNPA − Stage 3 provision</t>
  </si>
  <si>
    <t xml:space="preserve">NNPA in ₹.</t>
  </si>
  <si>
    <t xml:space="preserve">=IF(OR(B12="",C12=""),"",B12-C12)</t>
  </si>
  <si>
    <t xml:space="preserve">Asset_Quality!D12</t>
  </si>
  <si>
    <t xml:space="preserve">GNPA % (calc)</t>
  </si>
  <si>
    <t xml:space="preserve">GNPA ÷ AUM</t>
  </si>
  <si>
    <t xml:space="preserve">Headline asset-quality ratio.</t>
  </si>
  <si>
    <t xml:space="preserve">=IF(OR(B12="",AUM!B12=""),"",B12/AUM!B12)</t>
  </si>
  <si>
    <t xml:space="preserve">Asset_Quality!E12</t>
  </si>
  <si>
    <t xml:space="preserve">NNPA % (calc)</t>
  </si>
  <si>
    <t xml:space="preserve">NNPA ÷ (AUM − Stage 3 provision)</t>
  </si>
  <si>
    <t xml:space="preserve">Net ratio on net loans.</t>
  </si>
  <si>
    <t xml:space="preserve">=IF(OR(D12="",AUM!B12=""),"",D12/(AUM!B12-C12))</t>
  </si>
  <si>
    <t xml:space="preserve">Asset_Quality!F12</t>
  </si>
  <si>
    <t xml:space="preserve">PCR % (calc)</t>
  </si>
  <si>
    <t xml:space="preserve">Stage 3 provision ÷ GNPA</t>
  </si>
  <si>
    <t xml:space="preserve">Coverage.</t>
  </si>
  <si>
    <t xml:space="preserve">=IF(OR(B12="",C12=""),"",C12/B12)</t>
  </si>
  <si>
    <t xml:space="preserve">Asset_Quality!G12</t>
  </si>
  <si>
    <t xml:space="preserve">Change in GNPA (pp)</t>
  </si>
  <si>
    <t xml:space="preserve">GNPA %(t) − GNPA %(t−1)</t>
  </si>
  <si>
    <t xml:space="preserve">Direction of asset quality.</t>
  </si>
  <si>
    <t xml:space="preserve">=IF(OR(E12="",E11=""),"",E12-E11)</t>
  </si>
  <si>
    <t xml:space="preserve">Asset_Quality!H12</t>
  </si>
  <si>
    <t xml:space="preserve">Total (calc)</t>
  </si>
  <si>
    <t xml:space="preserve">SUM of product lines</t>
  </si>
  <si>
    <t xml:space="preserve">Check: equals AUM.</t>
  </si>
  <si>
    <t xml:space="preserve">=IF(COUNT(B12:H12)&lt;7,"",SUM(B12:H12))</t>
  </si>
  <si>
    <t xml:space="preserve">Segment_AUM!I12</t>
  </si>
  <si>
    <t xml:space="preserve">Check vs AUM</t>
  </si>
  <si>
    <t xml:space="preserve">Total − AUM</t>
  </si>
  <si>
    <t xml:space="preserve">Should be ~0.</t>
  </si>
  <si>
    <t xml:space="preserve">=IF(OR(I12="",AUM!B12=""),"",I12-AUM!B12)</t>
  </si>
  <si>
    <t xml:space="preserve">Segment_AUM!J12</t>
  </si>
  <si>
    <t xml:space="preserve">Retail %</t>
  </si>
  <si>
    <t xml:space="preserve">Retail ÷ total</t>
  </si>
  <si>
    <t xml:space="preserve">Product mix.</t>
  </si>
  <si>
    <t xml:space="preserve">=IF(I12="","",B12/I12)</t>
  </si>
  <si>
    <t xml:space="preserve">Segment_AUM!K12</t>
  </si>
  <si>
    <t xml:space="preserve">SME + bills %</t>
  </si>
  <si>
    <t xml:space="preserve">(SME + bills) ÷ total</t>
  </si>
  <si>
    <t xml:space="preserve">=IF(I12="","",(D12+E12)/I12)</t>
  </si>
  <si>
    <t xml:space="preserve">Segment_AUM!M12</t>
  </si>
  <si>
    <t xml:space="preserve">Net provision charge (calc)</t>
  </si>
  <si>
    <t xml:space="preserve">Loan losses − write-offs</t>
  </si>
  <si>
    <t xml:space="preserve">Negative = release.</t>
  </si>
  <si>
    <t xml:space="preserve">Credit_Losses!D12</t>
  </si>
  <si>
    <t xml:space="preserve">Loan losses ÷ average AUM</t>
  </si>
  <si>
    <t xml:space="preserve">Comparable with Bajaj.</t>
  </si>
  <si>
    <t xml:space="preserve">=IF(OR(B12="",AUM!F12=""),"",B12/AUM!F12)</t>
  </si>
  <si>
    <t xml:space="preserve">Credit_Losses!E12</t>
  </si>
  <si>
    <t xml:space="preserve">Write-offs / avg AUM</t>
  </si>
  <si>
    <t xml:space="preserve">Write-offs ÷ average AUM</t>
  </si>
  <si>
    <t xml:space="preserve">Realised loss rate.</t>
  </si>
  <si>
    <t xml:space="preserve">=IF(OR(C12="",AUM!F12=""),"",C12/AUM!F12)</t>
  </si>
  <si>
    <t xml:space="preserve">Credit_Losses!F12</t>
  </si>
  <si>
    <t xml:space="preserve">Loan losses / PPOP</t>
  </si>
  <si>
    <t xml:space="preserve">Loan losses ÷ PPOP</t>
  </si>
  <si>
    <t xml:space="preserve">Share of operating profit used by credit costs.</t>
  </si>
  <si>
    <t xml:space="preserve">=IF(OR(B12="",G12=""),"",B12/G12)</t>
  </si>
  <si>
    <t xml:space="preserve">Credit_Losses!H12</t>
  </si>
  <si>
    <t xml:space="preserve">NTI (calc)</t>
  </si>
  <si>
    <t xml:space="preserve">Total income − finance costs</t>
  </si>
  <si>
    <t xml:space="preserve">Net total income (Bajaj definition).</t>
  </si>
  <si>
    <t xml:space="preserve">=IF(OR(B12="",D12=""),"",B12-D12)</t>
  </si>
  <si>
    <t xml:space="preserve">Profitability!I12</t>
  </si>
  <si>
    <t xml:space="preserve">Opex (calc)</t>
  </si>
  <si>
    <t xml:space="preserve">Employee + D&amp;A + other + fees &amp; commission</t>
  </si>
  <si>
    <t xml:space="preserve">Operating cost.</t>
  </si>
  <si>
    <t xml:space="preserve">=IF(COUNT(E12:H12)&lt;4,"",SUM(E12:H12))</t>
  </si>
  <si>
    <t xml:space="preserve">Profitability!J12</t>
  </si>
  <si>
    <t xml:space="preserve">PPOP (calc)</t>
  </si>
  <si>
    <t xml:space="preserve">NTI − opex</t>
  </si>
  <si>
    <t xml:space="preserve">Pre-provision operating profit.</t>
  </si>
  <si>
    <t xml:space="preserve">=IF(OR(I12="",J12=""),"",I12-J12)</t>
  </si>
  <si>
    <t xml:space="preserve">Profitability!K12</t>
  </si>
  <si>
    <t xml:space="preserve">ROA % (calc)</t>
  </si>
  <si>
    <t xml:space="preserve">Profit ÷ average total assets</t>
  </si>
  <si>
    <t xml:space="preserve">Return on assets.</t>
  </si>
  <si>
    <t xml:space="preserve">=IF(OR(M12="",Capital!$H12="",Capital!$H11=""),"",M12/AVERAGE(Capital!$H12,Capital!$H11))</t>
  </si>
  <si>
    <t xml:space="preserve">Profitability!O12</t>
  </si>
  <si>
    <t xml:space="preserve">ROE % (calc)</t>
  </si>
  <si>
    <t xml:space="preserve">PAT (owners) ÷ average owners' equity</t>
  </si>
  <si>
    <t xml:space="preserve">Return on equity.</t>
  </si>
  <si>
    <t xml:space="preserve">=IF(OR(N12="",Capital!$I12="",Capital!$I11=""),"",N12/AVERAGE(Capital!$I12,Capital!$I11))</t>
  </si>
  <si>
    <t xml:space="preserve">Profitability!P12</t>
  </si>
  <si>
    <t xml:space="preserve">Cost-to-income (Opex / NTI)</t>
  </si>
  <si>
    <t xml:space="preserve">Opex ÷ NTI</t>
  </si>
  <si>
    <t xml:space="preserve">Efficiency.</t>
  </si>
  <si>
    <t xml:space="preserve">=IF(OR(J12="",I12=""),"",J12/I12)</t>
  </si>
  <si>
    <t xml:space="preserve">Profitability!Q12</t>
  </si>
  <si>
    <t xml:space="preserve">Loan losses ÷ NTI</t>
  </si>
  <si>
    <t xml:space="preserve">Credit-cost burden.</t>
  </si>
  <si>
    <t xml:space="preserve">=IF(OR(Credit_Losses!B12="",I12=""),"",Credit_Losses!B12/I12)</t>
  </si>
  <si>
    <t xml:space="preserve">Profitability!R12</t>
  </si>
  <si>
    <t xml:space="preserve">PAT growth %</t>
  </si>
  <si>
    <t xml:space="preserve">PAT(t) ÷ PAT(t−1) − 1</t>
  </si>
  <si>
    <t xml:space="preserve">Profit trend.</t>
  </si>
  <si>
    <t xml:space="preserve">=IF(OR(N12="",N11=""),"",N12/N11-1)</t>
  </si>
  <si>
    <t xml:space="preserve">Profitability!S12</t>
  </si>
  <si>
    <t xml:space="preserve">Tier 2 % (calc)</t>
  </si>
  <si>
    <t xml:space="preserve">CRAR − Tier 1</t>
  </si>
  <si>
    <t xml:space="preserve">Supplementary capital.</t>
  </si>
  <si>
    <t xml:space="preserve">=IF(OR(B12=""),"",B12-C12)</t>
  </si>
  <si>
    <t xml:space="preserve">Capital!D12</t>
  </si>
  <si>
    <t xml:space="preserve">Total borrowings</t>
  </si>
  <si>
    <t xml:space="preserve">Debt sec. + borrowings + deposits + sub-debt</t>
  </si>
  <si>
    <t xml:space="preserve">Total debt.</t>
  </si>
  <si>
    <t xml:space="preserve">=IF(COUNT(E12,F12,G12,K12)&lt;4,"",E12+F12+G12+K12)</t>
  </si>
  <si>
    <t xml:space="preserve">Capital!L12</t>
  </si>
  <si>
    <t xml:space="preserve">Total equity (calc)</t>
  </si>
  <si>
    <t xml:space="preserve">Owners' equity + NCI</t>
  </si>
  <si>
    <t xml:space="preserve">Group equity.</t>
  </si>
  <si>
    <t xml:space="preserve">=IF(OR(I12="",J12=""),"",I12+J12)</t>
  </si>
  <si>
    <t xml:space="preserve">Capital!M12</t>
  </si>
  <si>
    <t xml:space="preserve">Debt / Equity (x, calc)</t>
  </si>
  <si>
    <t xml:space="preserve">Total borrowings ÷ total equity</t>
  </si>
  <si>
    <t xml:space="preserve">Gearing.</t>
  </si>
  <si>
    <t xml:space="preserve">=IF(OR(L12="",M12=""),"",L12/M12)</t>
  </si>
  <si>
    <t xml:space="preserve">Capital!N12</t>
  </si>
  <si>
    <t xml:space="preserve">Leverage: assets / equity (x, calc)</t>
  </si>
  <si>
    <t xml:space="preserve">Total assets ÷ total equity</t>
  </si>
  <si>
    <t xml:space="preserve">Leverage.</t>
  </si>
  <si>
    <t xml:space="preserve">=IF(OR(H12="",M12=""),"",H12/M12)</t>
  </si>
  <si>
    <t xml:space="preserve">Capital!O12</t>
  </si>
  <si>
    <t xml:space="preserve">Liquid assets (calc)</t>
  </si>
  <si>
    <t xml:space="preserve">Cash + other bank balances</t>
  </si>
  <si>
    <t xml:space="preserve">Liquidity cushion.</t>
  </si>
  <si>
    <t xml:space="preserve">=IF(COUNT(B12,C12)&lt;2,"",B12+C12)</t>
  </si>
  <si>
    <t xml:space="preserve">Liquidity!D12</t>
  </si>
  <si>
    <t xml:space="preserve">Mix: deposits</t>
  </si>
  <si>
    <t xml:space="preserve">Deposits ÷ total borrowings</t>
  </si>
  <si>
    <t xml:space="preserve">Funding mix.</t>
  </si>
  <si>
    <t xml:space="preserve">=IF(OR(Capital!G12="",E12=""),"",Capital!G12/E12)</t>
  </si>
  <si>
    <t xml:space="preserve">Liquidity!H12</t>
  </si>
  <si>
    <t xml:space="preserve">Liquid assets / borrowings</t>
  </si>
  <si>
    <t xml:space="preserve">Liquid assets ÷ borrowings</t>
  </si>
  <si>
    <t xml:space="preserve">Cushion vs debt.</t>
  </si>
  <si>
    <t xml:space="preserve">=IF(OR(D12="",E12=""),"",D12/E12)</t>
  </si>
  <si>
    <t xml:space="preserve">Liquidity!J12</t>
  </si>
  <si>
    <t xml:space="preserve">Liquid assets / total assets</t>
  </si>
  <si>
    <t xml:space="preserve">Liquid assets ÷ total assets</t>
  </si>
  <si>
    <t xml:space="preserve">Cushion vs balance sheet.</t>
  </si>
  <si>
    <t xml:space="preserve">=IF(OR(D12="",Capital!H12=""),"",D12/Capital!H12)</t>
  </si>
  <si>
    <t xml:space="preserve">Liquidity!K12</t>
  </si>
  <si>
    <t xml:space="preserve">Finance cost / avg borrowings (cost of funds proxy)</t>
  </si>
  <si>
    <t xml:space="preserve">Finance costs ÷ average borrowings</t>
  </si>
  <si>
    <t xml:space="preserve">Cost of funds.</t>
  </si>
  <si>
    <t xml:space="preserve">=IF(OR(Profitability!D12="",E12="",E11=""),"",Profitability!D12/AVERAGE(E12,E11))</t>
  </si>
  <si>
    <t xml:space="preserve">Liquidity!L12</t>
  </si>
  <si>
    <t xml:space="preserve">Every column</t>
  </si>
  <si>
    <t xml:space="preserve">=IF(source cell="","",source cell)</t>
  </si>
  <si>
    <t xml:space="preserve">One table for analysis; blanks stay blank.</t>
  </si>
  <si>
    <t xml:space="preserve">=IF(AUM!B12="","",AUM!B12)</t>
  </si>
  <si>
    <t xml:space="preserve">Master_Dataset!C12</t>
  </si>
  <si>
    <t xml:space="preserve">All sheets</t>
  </si>
  <si>
    <t xml:space="preserve">Blank / completeness guards</t>
  </si>
  <si>
    <t xml:space="preserve">IF(OR(input=""),"",…) and IF(COUNT(range)&lt;n,"",…)</t>
  </si>
  <si>
    <t xml:space="preserve">No errors or false zeros when inputs are missing.</t>
  </si>
  <si>
    <t xml:space="preserve">Assets under management — consolidated gross and net loans (₹ crore)</t>
  </si>
  <si>
    <t xml:space="preserve">AUM = gross loans (Loans note, before impairment allowance). Net loans = balance-sheet 'Loans'.</t>
  </si>
  <si>
    <t xml:space="preserve">AUM — gross loans</t>
  </si>
  <si>
    <t xml:space="preserve">Net loans (balance sheet)</t>
  </si>
  <si>
    <t xml:space="preserve">Source (document · slide/page)</t>
  </si>
  <si>
    <t xml:space="preserve">AR 2016-17 pp.229, 233 (loans against assets incl. overdue, IGAAP)</t>
  </si>
  <si>
    <t xml:space="preserve">AR 2018-19 (FY18 Ind AS comparatives) note 7 p.268; p.250</t>
  </si>
  <si>
    <t xml:space="preserve">AR 2018-19 note 7 p.268; p.250</t>
  </si>
  <si>
    <t xml:space="preserve">AR 2019-20 note 7 p.295; p.276</t>
  </si>
  <si>
    <t xml:space="preserve">IAR 2020-21 note 7 p.353; p.330</t>
  </si>
  <si>
    <t xml:space="preserve">IR 2021-22 note 7 p.347; p.326</t>
  </si>
  <si>
    <t xml:space="preserve">IR 2022-23 note 7 p.437; p.412</t>
  </si>
  <si>
    <t xml:space="preserve">IR 2023-24 note 6 p.420; p.396</t>
  </si>
  <si>
    <t xml:space="preserve">Pending – AR 2024-25</t>
  </si>
  <si>
    <t xml:space="preserve">Pending – IAR 2025-26</t>
  </si>
  <si>
    <t xml:space="preserve">FY17 = loans against assets (secured + doubtful), IGAAP; net loans not reported on the same basis (yellow). FY17→FY18 growth crosses the IGAAP→Ind AS break.</t>
  </si>
  <si>
    <t xml:space="preserve">FY18 IGAAP loans against assets were ₹57,832 cr gross as well (AR 2017-18 notes 15, 20, pp.246, 249) — the two bases are close for this line.</t>
  </si>
  <si>
    <t xml:space="preserve">Product mix — consolidated gross loans by product (₹ crore and % share)</t>
  </si>
  <si>
    <t xml:space="preserve">From the consolidated Loans note. Vehicle-wise split (UV, cars, tractors, CV, pre-owned) is disclosed only for the standalone company — see the standalone file.</t>
  </si>
  <si>
    <t xml:space="preserve">Retail loans</t>
  </si>
  <si>
    <t xml:space="preserve">Housing finance</t>
  </si>
  <si>
    <t xml:space="preserve">SME financing</t>
  </si>
  <si>
    <t xml:space="preserve">Bills of exchange</t>
  </si>
  <si>
    <t xml:space="preserve">Trade advances</t>
  </si>
  <si>
    <t xml:space="preserve">Finance lease</t>
  </si>
  <si>
    <t xml:space="preserve">Inter-corporate deposits &amp; other</t>
  </si>
  <si>
    <t xml:space="preserve">Housing %</t>
  </si>
  <si>
    <t xml:space="preserve">Trade advances %</t>
  </si>
  <si>
    <t xml:space="preserve">Finance lease %</t>
  </si>
  <si>
    <t xml:space="preserve">AR 2016-17 – product split not extracted (IGAAP notes show loans against assets / trade advances)</t>
  </si>
  <si>
    <t xml:space="preserve">AR 2018-19 (FY18 Ind AS comparatives) note 7 p.268</t>
  </si>
  <si>
    <t xml:space="preserve">AR 2018-19 note 7 p.268</t>
  </si>
  <si>
    <t xml:space="preserve">AR 2019-20 note 7 p.295</t>
  </si>
  <si>
    <t xml:space="preserve">IAR 2020-21 note 7 p.353</t>
  </si>
  <si>
    <t xml:space="preserve">IR 2021-22 note 7 p.347</t>
  </si>
  <si>
    <t xml:space="preserve">IR 2022-23 note 7 p.437</t>
  </si>
  <si>
    <t xml:space="preserve">IR 2023-24 note 6 p.420</t>
  </si>
  <si>
    <t xml:space="preserve">FY18 'other' includes retained interest under assignment (₹1.47 cr). Finance lease shown separately from FY22 (earlier inside other categories). Retail = vehicle and other retail loans of the parent.</t>
  </si>
  <si>
    <t xml:space="preserve">Housing finance = Mahindra Rural Housing Finance (subsidiary). Product definitions are the company's and may shift between years.</t>
  </si>
  <si>
    <t xml:space="preserve">Risk tier by product (analyst view)</t>
  </si>
  <si>
    <t xml:space="preserve">Product</t>
  </si>
  <si>
    <t xml:space="preserve">Secured / Unsecured</t>
  </si>
  <si>
    <t xml:space="preserve">Risk tier</t>
  </si>
  <si>
    <t xml:space="preserve">Why</t>
  </si>
  <si>
    <t xml:space="preserve">Secured (vehicle)</t>
  </si>
  <si>
    <t xml:space="preserve">Medium–High</t>
  </si>
  <si>
    <t xml:space="preserve">Rural/semi-urban vehicle, tractor and pre-owned loans; farm-income dependence</t>
  </si>
  <si>
    <t xml:space="preserve">Secured (property)</t>
  </si>
  <si>
    <t xml:space="preserve">High</t>
  </si>
  <si>
    <t xml:space="preserve">Rural affordable housing; highest Stage 3 ratio of the group's portfolios</t>
  </si>
  <si>
    <t xml:space="preserve">SME financing + bills</t>
  </si>
  <si>
    <t xml:space="preserve">Mixed</t>
  </si>
  <si>
    <t xml:space="preserve">Small-business cash flows; bill discounting short tenor</t>
  </si>
  <si>
    <t xml:space="preserve">Mostly unsecured</t>
  </si>
  <si>
    <t xml:space="preserve">Low–Medium</t>
  </si>
  <si>
    <t xml:space="preserve">Short-term dealer/channel finance (~90 days)</t>
  </si>
  <si>
    <t xml:space="preserve">Secured (asset)</t>
  </si>
  <si>
    <t xml:space="preserve">Medium</t>
  </si>
  <si>
    <t xml:space="preserve">Vehicle leasing</t>
  </si>
  <si>
    <t xml:space="preserve">Asset quality — GNPA and NNPA (consolidated)</t>
  </si>
  <si>
    <t xml:space="preserve">GNPA ₹ = Stage 3 loans (FY17: IGAAP non-performing loans). NNPA ₹ = GNPA − Stage 3 ECL (FY17: − NPA provisions). Ratios calculated — Mahindra does not print consolidated %.</t>
  </si>
  <si>
    <t xml:space="preserve">Gross NPA ₹ (Stage 3)</t>
  </si>
  <si>
    <t xml:space="preserve">Stage 3 provision / NPA provision ₹</t>
  </si>
  <si>
    <t xml:space="preserve">AR 2016-17 NPA amounts noted under loan tables pp.229, 233; NPA provisions pp.219, 221</t>
  </si>
  <si>
    <t xml:space="preserve">Linked from Stage_ECL (AR 2018-19 (FY18 Ind AS comparatives) pp.310-311)</t>
  </si>
  <si>
    <t xml:space="preserve">Linked from Stage_ECL (AR 2018-19 pp.310-311)</t>
  </si>
  <si>
    <t xml:space="preserve">Linked from Stage_ECL (AR 2019-20 pp.330-331)</t>
  </si>
  <si>
    <t xml:space="preserve">Linked from Stage_ECL (IAR 2020-21 pp.395-396)</t>
  </si>
  <si>
    <t xml:space="preserve">Linked from Stage_ECL (IR 2021-22 pp.390-391)</t>
  </si>
  <si>
    <t xml:space="preserve">Linked from Stage_ECL (IR 2022-23 pp.483-484)</t>
  </si>
  <si>
    <t xml:space="preserve">Linked from Stage_ECL (IR 2023-24 pp.465-466)</t>
  </si>
  <si>
    <t xml:space="preserve">FY17 GNPA (₹3,997 cr) is the sum of all non-performing loans under IGAAP; the standalone deck figure (₹4,183 cr) is on a different basis and is not reconciled. FY17→FY18 change crosses the IGAAP→Ind AS break.</t>
  </si>
  <si>
    <t xml:space="preserve">NNPA % denominator = gross loans − Stage 3 provision. Consolidated GNPA runs above the standalone figure because the housing subsidiary is included.</t>
  </si>
  <si>
    <t xml:space="preserve">IGAAP FY18 for reference (AR 2017-18 notes 15, 20, 7, 11): non-performing loans ₹4,697 cr, NPA provisions ₹2,266 cr.</t>
  </si>
  <si>
    <t xml:space="preserve">Stage-wise loans and ECL (₹ crore, consolidated)</t>
  </si>
  <si>
    <t xml:space="preserve">Stage 1 = 0-30 dpd, Stage 2 = 31-90 dpd, Stage 3 = &gt;90 dpd / credit-impaired (AR 2018-19 p.308). Sum of retail, housing, SME and trade-advance tables; ECL = gross − carrying amount.</t>
  </si>
  <si>
    <t xml:space="preserve">Stage 1 loans</t>
  </si>
  <si>
    <t xml:space="preserve">Stage 2 loans</t>
  </si>
  <si>
    <t xml:space="preserve">Stage 3 loans</t>
  </si>
  <si>
    <t xml:space="preserve">ECL Stage 1</t>
  </si>
  <si>
    <t xml:space="preserve">ECL Stage 2</t>
  </si>
  <si>
    <t xml:space="preserve">ECL Stage 3</t>
  </si>
  <si>
    <t xml:space="preserve">Total ECL (Loans note)</t>
  </si>
  <si>
    <t xml:space="preserve">AR 2016-17 (IGAAP – no stages)</t>
  </si>
  <si>
    <t xml:space="preserve">AR 2018-19 (FY18 Ind AS comparatives) stages pp.310-311; Loans note note 7 p.268</t>
  </si>
  <si>
    <t xml:space="preserve">AR 2018-19 stages pp.310-311; Loans note note 7 p.268</t>
  </si>
  <si>
    <t xml:space="preserve">AR 2019-20 stages pp.330-331; Loans note note 7 p.295</t>
  </si>
  <si>
    <t xml:space="preserve">IAR 2020-21 stages pp.395-396; Loans note note 7 p.353</t>
  </si>
  <si>
    <t xml:space="preserve">IR 2021-22 stages pp.390-391; Loans note note 7 p.347</t>
  </si>
  <si>
    <t xml:space="preserve">IR 2022-23 stages pp.483-484; Loans note note 7 p.437</t>
  </si>
  <si>
    <t xml:space="preserve">IR 2023-24 stages pp.465-466; Loans note note 6 p.420</t>
  </si>
  <si>
    <t xml:space="preserve">Gross gap = small loans outside the stage tables (inter-corporate deposits, other loans; FY18 also retained interest ₹1.47 cr).</t>
  </si>
  <si>
    <t xml:space="preserve">ECL gap: ~₹1 cr FY18–FY21 (inter-corporate deposit fully provided); ₹6 cr FY22 and ~₹31 cr FY23–FY24 — shown as reported, not forced.</t>
  </si>
  <si>
    <t xml:space="preserve">Trade advances use Ind AS 109 simplified approach (&lt;60 dpd / 61-90 dpd / &gt;90 dpd), mapped to Stage 1/2/3. FY2016-17 is IGAAP: no stages (grey).</t>
  </si>
  <si>
    <t xml:space="preserve">Credit losses — impairment, write-offs and credit cost (₹ crore, consolidated)</t>
  </si>
  <si>
    <t xml:space="preserve">Loan losses = 'Impairment on financial instruments' (FY17 IGAAP: 'Loan provisions and write offs'). Credit cost = loan losses ÷ average AUM (same as the Bajaj calc column).</t>
  </si>
  <si>
    <t xml:space="preserve">Loan losses (impairment, P&amp;L)</t>
  </si>
  <si>
    <t xml:space="preserve">Bad debts &amp; write-offs</t>
  </si>
  <si>
    <t xml:space="preserve">AR 2016-17 p.205; note 25 p.235</t>
  </si>
  <si>
    <t xml:space="preserve">AR 2018-19 (FY18 Ind AS comparatives) p.251; note 30 p.286</t>
  </si>
  <si>
    <t xml:space="preserve">AR 2018-19 p.251; note 30 p.286</t>
  </si>
  <si>
    <t xml:space="preserve">AR 2019-20 p.277; note 30 p.311</t>
  </si>
  <si>
    <t xml:space="preserve">IAR 2020-21 p.331; note 30 p.371</t>
  </si>
  <si>
    <t xml:space="preserve">IR 2021-22 p.327; note 30 p.368</t>
  </si>
  <si>
    <t xml:space="preserve">IR 2022-23 p.413; note 30 p.458</t>
  </si>
  <si>
    <t xml:space="preserve">IR 2023-24 p.397; note 29 p.440</t>
  </si>
  <si>
    <t xml:space="preserve">FY17 (IGAAP) loan losses ₹1,390 cr = write-offs ₹863 cr + NPA provision ₹499 cr + standard-asset provision ₹27 cr (note 25). FY18 IGAAP loan provisions &amp; write-offs were ₹1,327 cr (AR 2017-18 note 27 p.252); Ind AS ₹677 cr used.</t>
  </si>
  <si>
    <t xml:space="preserve">Negative net provision = provisions released (write-offs exceeded impairment), e.g. FY19, FY22, FY23. Later reports restate some prior-year write-off figures slightly; each year's own report is used.</t>
  </si>
  <si>
    <t xml:space="preserve">Capital adequacy, net worth and leverage (consolidated; CRAR standalone)</t>
  </si>
  <si>
    <t xml:space="preserve">CRAR / Tier 1 are regulatory ratios reported only for the standalone company (same as in the Bajaj file). Borrowings = debt securities + other borrowings + deposits + subordinated liabilities.</t>
  </si>
  <si>
    <t xml:space="preserve">Debt securities</t>
  </si>
  <si>
    <t xml:space="preserve">Borrowings (other than debt sec.)</t>
  </si>
  <si>
    <t xml:space="preserve">Deposits</t>
  </si>
  <si>
    <t xml:space="preserve">Total assets</t>
  </si>
  <si>
    <t xml:space="preserve">Equity — owners</t>
  </si>
  <si>
    <t xml:space="preserve">Non-controlling interests</t>
  </si>
  <si>
    <t xml:space="preserve">Subordinated liabilities</t>
  </si>
  <si>
    <t xml:space="preserve">AR 2016-17 BS p.204; borrowings pp.218-220; CRAR p.100 (standalone)</t>
  </si>
  <si>
    <t xml:space="preserve">AR 2018-19 (FY18 Ind AS comparatives) BS p.250; CRAR/Tier 1 standalone (see standalone file)</t>
  </si>
  <si>
    <t xml:space="preserve">AR 2018-19 BS p.250; CRAR/Tier 1 standalone (see standalone file)</t>
  </si>
  <si>
    <t xml:space="preserve">AR 2019-20 BS p.276; CRAR/Tier 1 standalone (see standalone file)</t>
  </si>
  <si>
    <t xml:space="preserve">IAR 2020-21 BS p.330; CRAR/Tier 1 standalone (see standalone file)</t>
  </si>
  <si>
    <t xml:space="preserve">IR 2021-22 BS p.326; CRAR/Tier 1 standalone (see standalone file)</t>
  </si>
  <si>
    <t xml:space="preserve">IR 2022-23 BS p.412; CRAR/Tier 1 standalone (see standalone file)</t>
  </si>
  <si>
    <t xml:space="preserve">IR 2023-24 BS p.396; CRAR/Tier 1 standalone (see standalone file)</t>
  </si>
  <si>
    <t xml:space="preserve">CRAR / Tier 1: FY17 from AR 2016-17 p.100; FY18–FY26 from the standalone file (Mahindra investor presentations) — they are standalone in every year, including FY25–FY26.</t>
  </si>
  <si>
    <t xml:space="preserve">FY17 (IGAAP) total borrowings ₹40,811 cr = long-term ₹24,985 cr + short-term ₹7,218 cr + current maturities ₹8,609 cr; deposits (₹4,264 cr) and sub-debt (₹2,319 cr) are inside that total, and the debt-securities / bank split was not extracted (yellow).</t>
  </si>
  <si>
    <t xml:space="preserve">FY17 equity = shareholders' funds; NCI = minority interest. FY18 IGAAP: total assets ₹63,538 cr, net worth ₹9,915 cr (AR 2017-18 p.218).</t>
  </si>
  <si>
    <t xml:space="preserve">Profitability (₹ crore, consolidated)</t>
  </si>
  <si>
    <t xml:space="preserve">NTI = total income − finance costs. Opex = employee + depreciation + other expenses + fees &amp; commission expense. PPOP = NTI − opex. ROA / ROE calculated on averages.</t>
  </si>
  <si>
    <t xml:space="preserve">Total income</t>
  </si>
  <si>
    <t xml:space="preserve">Interest income</t>
  </si>
  <si>
    <t xml:space="preserve">Finance costs</t>
  </si>
  <si>
    <t xml:space="preserve">Employee benefits</t>
  </si>
  <si>
    <t xml:space="preserve">Depreciation &amp; amortisation</t>
  </si>
  <si>
    <t xml:space="preserve">Other expenses</t>
  </si>
  <si>
    <t xml:space="preserve">Fees &amp; commission expense</t>
  </si>
  <si>
    <t xml:space="preserve">Profit before tax</t>
  </si>
  <si>
    <t xml:space="preserve">Profit for the year</t>
  </si>
  <si>
    <t xml:space="preserve">PAT — owners of the company</t>
  </si>
  <si>
    <t xml:space="preserve">AR 2016-17 p.205 (IGAAP); PAT before minority from AR 2017-18 p.219</t>
  </si>
  <si>
    <t xml:space="preserve">AR 2018-19 (FY18 Ind AS comparatives) p.251</t>
  </si>
  <si>
    <t xml:space="preserve">AR 2018-19 p.251</t>
  </si>
  <si>
    <t xml:space="preserve">AR 2019-20 p.277</t>
  </si>
  <si>
    <t xml:space="preserve">IAR 2020-21 p.331</t>
  </si>
  <si>
    <t xml:space="preserve">IR 2021-22 p.327</t>
  </si>
  <si>
    <t xml:space="preserve">IR 2022-23 p.413</t>
  </si>
  <si>
    <t xml:space="preserve">IR 2023-24 p.397</t>
  </si>
  <si>
    <t xml:space="preserve">FY17 IGAAP: commission &amp; brokerage is inside other expenses (no separate fees line, so 0); interest income not separately extracted (yellow). FY18 IGAAP PAT was ₹1,024 cr; Ind AS ₹1,185 cr (owners) used.</t>
  </si>
  <si>
    <t xml:space="preserve">PPOP (calc) includes nothing from associates; PBT also includes share of profit of associates/JV (FY18 ₹31 cr … FY24 ₹56 cr) and exceptional items (FY21 +₹229 cr, FY22 +₹21 cr, FY23 −₹56 cr).</t>
  </si>
  <si>
    <t xml:space="preserve">ROA = profit for the year ÷ average total assets; ROE = PAT (owners) ÷ average owners' equity (both from Capital sheet).</t>
  </si>
  <si>
    <t xml:space="preserve">Liquidity and funding mix (₹ crore, consolidated balance sheet)</t>
  </si>
  <si>
    <t xml:space="preserve">Liquid assets = cash &amp; cash equivalents + other bank balances. Funding mix = share of total borrowings. Liquidity buffer, LCR and ALM buckets are disclosed only standalone — see the standalone file.</t>
  </si>
  <si>
    <t xml:space="preserve">Cash &amp; cash equivalents</t>
  </si>
  <si>
    <t xml:space="preserve">Other bank balances</t>
  </si>
  <si>
    <t xml:space="preserve">Total borrowings (link)</t>
  </si>
  <si>
    <t xml:space="preserve">Mix: debt securities</t>
  </si>
  <si>
    <t xml:space="preserve">Mix: bank &amp; other borrowings</t>
  </si>
  <si>
    <t xml:space="preserve">Mix: subordinated</t>
  </si>
  <si>
    <t xml:space="preserve">AR 2016-17 AR 2017-18 p.218 (FY17 comparative: cash and bank balances ₹60,387.54 lakh, IGAAP)</t>
  </si>
  <si>
    <t xml:space="preserve">AR 2018-19 (FY18 Ind AS comparatives) p.250</t>
  </si>
  <si>
    <t xml:space="preserve">AR 2018-19 p.250</t>
  </si>
  <si>
    <t xml:space="preserve">AR 2019-20 p.276</t>
  </si>
  <si>
    <t xml:space="preserve">IAR 2020-21 p.330</t>
  </si>
  <si>
    <t xml:space="preserve">IR 2021-22 p.326</t>
  </si>
  <si>
    <t xml:space="preserve">IR 2022-23 p.412</t>
  </si>
  <si>
    <t xml:space="preserve">IR 2023-24 p.396</t>
  </si>
  <si>
    <t xml:space="preserve">FY17: only the combined 'cash and bank balances' is available (IGAAP), entered directly as liquid assets. Liquid assets exclude liquid investments (not split out in the consolidated statements).</t>
  </si>
  <si>
    <t xml:space="preserve">FY17 deposits share uses deposits within total borrowings (both IGAAP). Cost-of-funds proxy = finance costs ÷ average total borrowings (includes lease interest and derivative losses).</t>
  </si>
  <si>
    <t xml:space="preserve">For liquidity buffer, LCR, ALM mismatch and collection efficiency use the standalone file (Liquidity sheet) — not published on a consolidated basis.</t>
  </si>
  <si>
    <t xml:space="preserve">Risk management and key credit events — from Mahindra Finance annual reports (paraphrased)</t>
  </si>
  <si>
    <t xml:space="preserve">FY</t>
  </si>
  <si>
    <t xml:space="preserve">Theme</t>
  </si>
  <si>
    <t xml:space="preserve">What the report says</t>
  </si>
  <si>
    <t xml:space="preserve">Why it matters</t>
  </si>
  <si>
    <t xml:space="preserve">Source</t>
  </si>
  <si>
    <t xml:space="preserve">Risk framework</t>
  </si>
  <si>
    <t xml:space="preserve">Credit risk handled by a credit management team backed by a recovery team and a large ground workforce; liquidity risk reduced through diversified funding, securitisation/assignment and liquid assets; ALCO sets limits; drought/floods affect farmer customers' ability to repay.</t>
  </si>
  <si>
    <t xml:space="preserve">Explains the rural, field-collection model and weather sensitivity.</t>
  </si>
  <si>
    <t xml:space="preserve">AR 2016-17 p.100</t>
  </si>
  <si>
    <t xml:space="preserve">Group NPA</t>
  </si>
  <si>
    <t xml:space="preserve">Housing subsidiary (MRHFL) gross NPA ₹466 cr, net NPA ₹352 cr, NNPA 7.47%.</t>
  </si>
  <si>
    <t xml:space="preserve">Subsidiary adds to consolidated NPA vs standalone.</t>
  </si>
  <si>
    <t xml:space="preserve">AR 2016-17 pp.242-243</t>
  </si>
  <si>
    <t xml:space="preserve">Provisioning policy (IGAAP)</t>
  </si>
  <si>
    <t xml:space="preserve">Company follows accelerated provisioning beyond RBI norms; cumulative accelerated provision ₹699.70 cr at 31 Mar 2018 (₹686.24 cr in FY17); additional ₹83.37 cr provided on 24-month-overdue cases; standard-asset provision ₹194.23 cr; NPA norms moved in phases to 90 days by FY18.</t>
  </si>
  <si>
    <t xml:space="preserve">Provision cushion before Ind AS.</t>
  </si>
  <si>
    <t xml:space="preserve">AR 2017-18 note 36, p.258</t>
  </si>
  <si>
    <t xml:space="preserve">Ind AS ECL model</t>
  </si>
  <si>
    <t xml:space="preserve">Stages by days past due (0-30 / 31-90 / &gt;90); PD from average of last 60 months' default rates with macro adjustment (agriculture growth for retail, real GDP for SME); LGD from past loss; three scenarios weighted (retail 10/85/5).</t>
  </si>
  <si>
    <t xml:space="preserve">How ECL is built — key for comparing coverage with Bajaj.</t>
  </si>
  <si>
    <t xml:space="preserve">AR 2018-19 pp.308-309</t>
  </si>
  <si>
    <t xml:space="preserve">Default triggers</t>
  </si>
  <si>
    <t xml:space="preserve">Loans are treated as Stage 3 even below 90 dpd when the customer has another Stage 3 loan, missed the first EMI, the repossessed asset's status needs verification, or fraud is suspected.</t>
  </si>
  <si>
    <t xml:space="preserve">Qualitative default definition.</t>
  </si>
  <si>
    <t xml:space="preserve">AR 2018-19 p.309</t>
  </si>
  <si>
    <t xml:space="preserve">Write-off policy</t>
  </si>
  <si>
    <t xml:space="preserve">A loan is written off when there is no realistic prospect of recovery; written-off loans can still be pursued and recoveries go to P&amp;L. Retail loans written off but still under enforcement: ₹1,182.64 cr (FY18: ₹636.48 cr).</t>
  </si>
  <si>
    <t xml:space="preserve">Write-offs are not the end of collection.</t>
  </si>
  <si>
    <t xml:space="preserve">AR 2018-19 pp.309, 313</t>
  </si>
  <si>
    <t xml:space="preserve">Audit focus</t>
  </si>
  <si>
    <t xml:space="preserve">Auditor listed impairment loss allowance (₹2,235 cr) and Ind AS transition as key audit matters, citing judgement in PD/LGD, overlays and SICR criteria.</t>
  </si>
  <si>
    <t xml:space="preserve">ECL is judgement-heavy.</t>
  </si>
  <si>
    <t xml:space="preserve">AR 2018-19 pp.242-243</t>
  </si>
  <si>
    <t xml:space="preserve">COVID year</t>
  </si>
  <si>
    <t xml:space="preserve">Consolidated impairment rose to ₹2,319 cr from ₹717 cr; total ECL ₹3,657 cr; Stage 3 9.2% of loans.</t>
  </si>
  <si>
    <t xml:space="preserve">Start of COVID stress.</t>
  </si>
  <si>
    <t xml:space="preserve">AR 2019-20 p.277; note 7 p.295</t>
  </si>
  <si>
    <t xml:space="preserve">Peak stress</t>
  </si>
  <si>
    <t xml:space="preserve">Impairment ₹3,999 cr (incl. write-offs ₹2,487 cr); Stage 2 rose to 14% of loans; total ECL ₹5,164 cr; Stage 3 coverage 53%.</t>
  </si>
  <si>
    <t xml:space="preserve">Highest credit cost in the window.</t>
  </si>
  <si>
    <t xml:space="preserve">IAR 2020-21 p.331; note 30 p.371; pp.395-396</t>
  </si>
  <si>
    <t xml:space="preserve">Write-offs under enforcement</t>
  </si>
  <si>
    <t xml:space="preserve">Loans written off but still subject to enforcement: ₹1,638.80 cr (FY21: ₹1,354.86 cr). Decrease in ECL driven by stage movements and higher write-offs.</t>
  </si>
  <si>
    <t xml:space="preserve">Large write-off year; collection continues.</t>
  </si>
  <si>
    <t xml:space="preserve">IR 2021-22 p.392</t>
  </si>
  <si>
    <t xml:space="preserve">Clean-up</t>
  </si>
  <si>
    <t xml:space="preserve">Stage 3 fell to 5.0% of loans; impairment ₹1,183 cr with write-offs ₹2,607 cr (net release ₹1,424 cr of loan provisions).</t>
  </si>
  <si>
    <t xml:space="preserve">Asset quality normalising.</t>
  </si>
  <si>
    <t xml:space="preserve">Qualitative Stage 3 &amp; overlays</t>
  </si>
  <si>
    <t xml:space="preserve">Stage 3 also covers: another loan in Stage 3, uncleared cheques ignored for DPD, repossessed vehicle loans, suspected fraud, SME loans under SARFAESI; accelerated provision up to 100% on selected exposures; moratoriums alone do not trigger SICR.</t>
  </si>
  <si>
    <t xml:space="preserve">Stricter, judgement-based recognition.</t>
  </si>
  <si>
    <t xml:space="preserve">IR 2023-24 p.464</t>
  </si>
  <si>
    <t xml:space="preserve">Macro model</t>
  </si>
  <si>
    <t xml:space="preserve">Agriculture is a compulsory variable; second variable from GDP / government consumption; scalars via Vasicek model with caps and floors.</t>
  </si>
  <si>
    <t xml:space="preserve">Rural-economy linkage of ECL.</t>
  </si>
  <si>
    <t xml:space="preserve">IR 2023-24 p.465</t>
  </si>
  <si>
    <t xml:space="preserve">FY2024-25 / FY2025-26</t>
  </si>
  <si>
    <t xml:space="preserve">Pending</t>
  </si>
  <si>
    <t xml:space="preserve">Annual reports not yet uploaded.</t>
  </si>
  <si>
    <t xml:space="preserve">—</t>
  </si>
  <si>
    <t xml:space="preserve">Standalone credit events (COVID overlays, restructuring, Aizawl fraud, PCR release) are in the standalone file's Risk_Notes.</t>
  </si>
  <si>
    <t xml:space="preserve">Sources — Mahindra &amp; Mahindra Financial Services Ltd (consolidated financial statements)</t>
  </si>
  <si>
    <t xml:space="preserve">Page numbers are the printed numbers on the report pages. BSE scrip code 532720.</t>
  </si>
  <si>
    <t xml:space="preserve">Short name</t>
  </si>
  <si>
    <t xml:space="preserve">Document</t>
  </si>
  <si>
    <t xml:space="preserve">Used for (years)</t>
  </si>
  <si>
    <t xml:space="preserve">Pages used</t>
  </si>
  <si>
    <t xml:space="preserve">Link</t>
  </si>
  <si>
    <t xml:space="preserve">AR 2016-17</t>
  </si>
  <si>
    <t xml:space="preserve">Annual Report 2016-17</t>
  </si>
  <si>
    <t xml:space="preserve">FY17 (IGAAP)</t>
  </si>
  <si>
    <t xml:space="preserve">BS p.204, P&amp;L p.205, borrowings pp.218-220, loans &amp; NPA pp.229, 233, provisions pp.219, 221, note 25 p.235, CRAR &amp; risk p.100, MRHFL pp.242-243</t>
  </si>
  <si>
    <t xml:space="preserve">https://www.bseindia.com/bseplus/AnnualReport/532720/5327200317.pdf</t>
  </si>
  <si>
    <t xml:space="preserve">AR 2017-18</t>
  </si>
  <si>
    <t xml:space="preserve">Annual Report 2017-18</t>
  </si>
  <si>
    <t xml:space="preserve">FY18 IGAAP reference; FY17 cash &amp; PAT before minority</t>
  </si>
  <si>
    <t xml:space="preserve">BS p.218, P&amp;L p.219, notes 15, 20 pp.246, 249, note 27 p.252, note 36 p.258</t>
  </si>
  <si>
    <t xml:space="preserve">https://www.bseindia.com/bseplus/AnnualReport/532720/5327200318.pdf</t>
  </si>
  <si>
    <t xml:space="preserve">AR 2018-19</t>
  </si>
  <si>
    <t xml:space="preserve">Annual Report 2018-19</t>
  </si>
  <si>
    <t xml:space="preserve">FY18 (Ind AS comparatives), FY19</t>
  </si>
  <si>
    <t xml:space="preserve">BS p.250, P&amp;L p.251, Loans note 7 p.268, note 30 p.286, ECL method pp.308-309, stages pp.310-311, write-offs p.313, KAM pp.242-243</t>
  </si>
  <si>
    <t xml:space="preserve">https://www.bseindia.com/bseplus/AnnualReport/532720/5327200319.pdf</t>
  </si>
  <si>
    <t xml:space="preserve">AR 2019-20</t>
  </si>
  <si>
    <t xml:space="preserve">Annual Report 2019-20</t>
  </si>
  <si>
    <t xml:space="preserve">FY20</t>
  </si>
  <si>
    <t xml:space="preserve">BS p.276, P&amp;L p.277, Loans note 7 p.295, note 30 p.311, stages pp.330-331</t>
  </si>
  <si>
    <t xml:space="preserve">https://www.bseindia.com/bseplus/AnnualReport/532720/5327200320.pdf</t>
  </si>
  <si>
    <t xml:space="preserve">IAR 2020-21</t>
  </si>
  <si>
    <t xml:space="preserve">Integrated Annual Report 2020-21</t>
  </si>
  <si>
    <t xml:space="preserve">FY21</t>
  </si>
  <si>
    <t xml:space="preserve">BS p.330, P&amp;L p.331, Loans note 7 p.353, note 30 p.371, stages pp.395-396</t>
  </si>
  <si>
    <t xml:space="preserve">https://www.bseindia.com/bseplus/AnnualReport/532720/68713532720.pdf</t>
  </si>
  <si>
    <t xml:space="preserve">IR 2021-22</t>
  </si>
  <si>
    <t xml:space="preserve">Integrated Annual Report 2021-22</t>
  </si>
  <si>
    <t xml:space="preserve">FY22</t>
  </si>
  <si>
    <t xml:space="preserve">BS &amp; P&amp;L pp.326-327, Loans note 7 p.347, note 30 p.368, stages pp.390-391, write-offs p.392</t>
  </si>
  <si>
    <t xml:space="preserve">https://www.bseindia.com/bseplus/AnnualReport/532720/73418532720.pdf</t>
  </si>
  <si>
    <t xml:space="preserve">IR 2022-23</t>
  </si>
  <si>
    <t xml:space="preserve">Integrated Annual Report 2022-23</t>
  </si>
  <si>
    <t xml:space="preserve">FY23</t>
  </si>
  <si>
    <t xml:space="preserve">BS &amp; P&amp;L pp.412-413, Loans note 7 p.437, note 30 p.458, stages pp.483-484</t>
  </si>
  <si>
    <t xml:space="preserve">Uploaded copy (BSE annual reports, 532720)</t>
  </si>
  <si>
    <t xml:space="preserve">IR 2023-24</t>
  </si>
  <si>
    <t xml:space="preserve">Integrated Annual Report 2023-24</t>
  </si>
  <si>
    <t xml:space="preserve">FY24</t>
  </si>
  <si>
    <t xml:space="preserve">BS &amp; P&amp;L pp.396-397, Loans note 6 p.420, note 29 p.440, ECL text pp.464-465, stages pp.465-466</t>
  </si>
  <si>
    <t xml:space="preserve">Standalone file</t>
  </si>
  <si>
    <t xml:space="preserve">Mahindra_Finance_10yr_Dataset.xlsx (investor presentations)</t>
  </si>
  <si>
    <t xml:space="preserve">CRAR / Tier 1 FY18–FY26</t>
  </si>
  <si>
    <t xml:space="preserve">See that file's Capital sheet and Sources</t>
  </si>
  <si>
    <t xml:space="preserve">IR page</t>
  </si>
  <si>
    <t xml:space="preserve">Mahindra Finance investor relations</t>
  </si>
  <si>
    <t xml:space="preserve">FY2024-25 and FY2025-26 annual reports (pending)</t>
  </si>
  <si>
    <t xml:space="preserve">https://www.mahindrafinance.com/investor-relations/financial-information</t>
  </si>
  <si>
    <t xml:space="preserve">Gaps (yellow in the sheets)</t>
  </si>
  <si>
    <t xml:space="preserve">1. FY2024-25 and FY2025-26 — all consolidated figures (annual reports not yet uploaded).</t>
  </si>
  <si>
    <t xml:space="preserve">2. FY2016-17 (IGAAP): net loans, interest income, product split, debt-securities / bank-borrowing split, cash vs bank split.</t>
  </si>
  <si>
    <t xml:space="preserve">3. Not published consolidated: liquidity buffer, LCR, ALM buckets, vehicle-wise product mix, collection efficiency — use the standalone file.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</si>
</sst>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0%;\(0.00%\);\-"/>
    <numFmt numFmtId="167" formatCode="0.0%;\(0.0%\);\-"/>
    <numFmt numFmtId="168" formatCode="0.00\x"/>
    <numFmt numFmtId="169" formatCode="0.00%;\-0.00%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8000"/>
      <name val="Arial"/>
      <family val="0"/>
      <charset val="1"/>
    </font>
    <font>
      <sz val="9"/>
      <color rgb="FF7F7F7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7B2C2C"/>
        <bgColor rgb="FF993366"/>
      </patternFill>
    </fill>
    <fill>
      <patternFill patternType="solid">
        <fgColor rgb="FFFFFF00"/>
        <bgColor rgb="FFFFFF00"/>
      </patternFill>
    </fill>
    <fill>
      <patternFill patternType="solid">
        <fgColor rgb="FF385723"/>
        <bgColor rgb="FF555555"/>
      </patternFill>
    </fill>
    <fill>
      <patternFill patternType="solid">
        <fgColor rgb="FFD9D9D9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7B2C2C"/>
      <rgbColor rgb="FF993366"/>
      <rgbColor rgb="FF333399"/>
      <rgbColor rgb="FF3857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3" customFormat="false" ht="28.35" hidden="false" customHeight="false" outlineLevel="0" collapsed="false">
      <c r="A3" s="2" t="s">
        <v>1</v>
      </c>
      <c r="B3" s="3" t="s">
        <v>2</v>
      </c>
    </row>
    <row r="4" customFormat="false" ht="28.3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28.35" hidden="false" customHeight="false" outlineLevel="0" collapsed="false">
      <c r="A6" s="2" t="s">
        <v>7</v>
      </c>
      <c r="B6" s="3" t="s">
        <v>8</v>
      </c>
    </row>
    <row r="7" customFormat="false" ht="28.3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28.3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  <row r="11" customFormat="false" ht="15" hidden="false" customHeight="false" outlineLevel="0" collapsed="false">
      <c r="A11" s="2"/>
      <c r="B11" s="3"/>
    </row>
    <row r="12" customFormat="false" ht="15" hidden="false" customHeight="false" outlineLevel="0" collapsed="false">
      <c r="A12" s="4" t="s">
        <v>17</v>
      </c>
      <c r="B12" s="5" t="s">
        <v>18</v>
      </c>
    </row>
    <row r="13" customFormat="false" ht="15" hidden="false" customHeight="false" outlineLevel="0" collapsed="false">
      <c r="A13" s="2" t="s">
        <v>19</v>
      </c>
      <c r="B13" s="3" t="s">
        <v>20</v>
      </c>
    </row>
    <row r="14" customFormat="false" ht="15" hidden="false" customHeight="false" outlineLevel="0" collapsed="false">
      <c r="A14" s="2" t="s">
        <v>21</v>
      </c>
      <c r="B14" s="3" t="s">
        <v>22</v>
      </c>
    </row>
    <row r="15" customFormat="false" ht="15" hidden="false" customHeight="false" outlineLevel="0" collapsed="false">
      <c r="A15" s="2" t="s">
        <v>23</v>
      </c>
      <c r="B15" s="3" t="s">
        <v>24</v>
      </c>
    </row>
    <row r="16" customFormat="false" ht="15" hidden="false" customHeight="false" outlineLevel="0" collapsed="false">
      <c r="A16" s="2" t="s">
        <v>25</v>
      </c>
      <c r="B16" s="3" t="s">
        <v>26</v>
      </c>
    </row>
    <row r="17" customFormat="false" ht="15" hidden="false" customHeight="false" outlineLevel="0" collapsed="false">
      <c r="A17" s="2" t="s">
        <v>27</v>
      </c>
      <c r="B17" s="3" t="s">
        <v>28</v>
      </c>
    </row>
    <row r="18" customFormat="false" ht="15" hidden="false" customHeight="false" outlineLevel="0" collapsed="false">
      <c r="A18" s="2" t="s">
        <v>29</v>
      </c>
      <c r="B18" s="3" t="s">
        <v>30</v>
      </c>
    </row>
    <row r="19" customFormat="false" ht="15" hidden="false" customHeight="false" outlineLevel="0" collapsed="false">
      <c r="A19" s="2" t="s">
        <v>31</v>
      </c>
      <c r="B19" s="3" t="s">
        <v>32</v>
      </c>
    </row>
    <row r="20" customFormat="false" ht="15" hidden="false" customHeight="false" outlineLevel="0" collapsed="false">
      <c r="A20" s="2" t="s">
        <v>33</v>
      </c>
      <c r="B20" s="3" t="s">
        <v>34</v>
      </c>
    </row>
    <row r="21" customFormat="false" ht="15" hidden="false" customHeight="false" outlineLevel="0" collapsed="false">
      <c r="A21" s="2" t="s">
        <v>35</v>
      </c>
      <c r="B21" s="3" t="s">
        <v>36</v>
      </c>
    </row>
    <row r="22" customFormat="false" ht="15" hidden="false" customHeight="false" outlineLevel="0" collapsed="false">
      <c r="A22" s="2" t="s">
        <v>37</v>
      </c>
      <c r="B22" s="3" t="s">
        <v>38</v>
      </c>
    </row>
    <row r="23" customFormat="false" ht="15" hidden="false" customHeight="false" outlineLevel="0" collapsed="false">
      <c r="A23" s="2" t="s">
        <v>39</v>
      </c>
      <c r="B23" s="3" t="s">
        <v>40</v>
      </c>
    </row>
    <row r="24" customFormat="false" ht="15" hidden="false" customHeight="false" outlineLevel="0" collapsed="false">
      <c r="A24" s="2" t="s">
        <v>3</v>
      </c>
      <c r="B24" s="3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28" min="3" style="0" width="13"/>
  </cols>
  <sheetData>
    <row r="1" customFormat="false" ht="17.35" hidden="false" customHeight="false" outlineLevel="0" collapsed="false">
      <c r="A1" s="1" t="s">
        <v>42</v>
      </c>
    </row>
    <row r="2" customFormat="false" ht="15" hidden="false" customHeight="false" outlineLevel="0" collapsed="false">
      <c r="A2" s="6" t="s">
        <v>43</v>
      </c>
    </row>
    <row r="4" customFormat="false" ht="49.5" hidden="false" customHeight="true" outlineLevel="0" collapsed="false">
      <c r="A4" s="7" t="s">
        <v>44</v>
      </c>
      <c r="B4" s="7" t="s">
        <v>45</v>
      </c>
      <c r="C4" s="7" t="s">
        <v>46</v>
      </c>
      <c r="D4" s="7" t="s">
        <v>47</v>
      </c>
      <c r="E4" s="7" t="s">
        <v>48</v>
      </c>
      <c r="F4" s="7" t="s">
        <v>49</v>
      </c>
      <c r="G4" s="7" t="s">
        <v>50</v>
      </c>
      <c r="H4" s="7" t="s">
        <v>51</v>
      </c>
      <c r="I4" s="7" t="s">
        <v>52</v>
      </c>
      <c r="J4" s="7" t="s">
        <v>53</v>
      </c>
      <c r="K4" s="7" t="s">
        <v>54</v>
      </c>
      <c r="L4" s="7" t="s">
        <v>55</v>
      </c>
      <c r="M4" s="7" t="s">
        <v>56</v>
      </c>
      <c r="N4" s="7" t="s">
        <v>57</v>
      </c>
      <c r="O4" s="7" t="s">
        <v>58</v>
      </c>
      <c r="P4" s="7" t="s">
        <v>59</v>
      </c>
      <c r="Q4" s="7" t="s">
        <v>60</v>
      </c>
      <c r="R4" s="7" t="s">
        <v>61</v>
      </c>
      <c r="S4" s="7" t="s">
        <v>62</v>
      </c>
      <c r="T4" s="7" t="s">
        <v>63</v>
      </c>
      <c r="U4" s="7" t="s">
        <v>64</v>
      </c>
      <c r="V4" s="7" t="s">
        <v>65</v>
      </c>
      <c r="W4" s="7" t="s">
        <v>66</v>
      </c>
      <c r="X4" s="7" t="s">
        <v>67</v>
      </c>
      <c r="Y4" s="7" t="s">
        <v>68</v>
      </c>
      <c r="Z4" s="7" t="s">
        <v>69</v>
      </c>
      <c r="AA4" s="7" t="s">
        <v>70</v>
      </c>
      <c r="AB4" s="7" t="s">
        <v>71</v>
      </c>
    </row>
    <row r="5" customFormat="false" ht="15" hidden="false" customHeight="false" outlineLevel="0" collapsed="false">
      <c r="A5" s="8" t="s">
        <v>72</v>
      </c>
      <c r="B5" s="9" t="s">
        <v>73</v>
      </c>
      <c r="C5" s="10" t="n">
        <f aca="false">IF(AUM!B5="","",AUM!B5)</f>
        <v>47994.47</v>
      </c>
      <c r="D5" s="11" t="str">
        <f aca="false">IF(AUM!D5="","",AUM!D5)</f>
        <v/>
      </c>
      <c r="E5" s="11" t="n">
        <f aca="false">IF(Asset_Quality!E5="","",Asset_Quality!E5)</f>
        <v>0.083275010641851</v>
      </c>
      <c r="F5" s="11" t="n">
        <f aca="false">IF(Asset_Quality!F5="","",Asset_Quality!F5)</f>
        <v>0.0421764528266069</v>
      </c>
      <c r="G5" s="10" t="n">
        <f aca="false">IF(Asset_Quality!B5="","",Asset_Quality!B5)</f>
        <v>3996.74</v>
      </c>
      <c r="H5" s="10" t="n">
        <f aca="false">IF(Asset_Quality!D5="","",Asset_Quality!D5)</f>
        <v>1937.38</v>
      </c>
      <c r="I5" s="12" t="n">
        <f aca="false">IF(Asset_Quality!G5="","",Asset_Quality!G5)</f>
        <v>0.515259936848532</v>
      </c>
      <c r="J5" s="11" t="str">
        <f aca="false">IF(Stage_ECL!K5="","",Stage_ECL!K5)</f>
        <v/>
      </c>
      <c r="K5" s="11" t="str">
        <f aca="false">IF(Stage_ECL!L5="","",Stage_ECL!L5)</f>
        <v/>
      </c>
      <c r="L5" s="10" t="str">
        <f aca="false">IF(Stage_ECL!H5="","",Stage_ECL!H5)</f>
        <v/>
      </c>
      <c r="M5" s="10" t="n">
        <f aca="false">IF(Credit_Losses!B5="","",Credit_Losses!B5)</f>
        <v>1389.55</v>
      </c>
      <c r="N5" s="11" t="str">
        <f aca="false">IF(Credit_Losses!E5="","",Credit_Losses!E5)</f>
        <v/>
      </c>
      <c r="O5" s="10" t="n">
        <f aca="false">IF(Credit_Losses!C5="","",Credit_Losses!C5)</f>
        <v>863.26</v>
      </c>
      <c r="P5" s="12" t="n">
        <f aca="false">IF(Capital!B5="","",Capital!B5)</f>
        <v>0.172</v>
      </c>
      <c r="Q5" s="12" t="n">
        <f aca="false">IF(Capital!C5="","",Capital!C5)</f>
        <v>0.128</v>
      </c>
      <c r="R5" s="13" t="n">
        <f aca="false">IF(Capital!O5="","",Capital!O5)</f>
        <v>7.56471283123417</v>
      </c>
      <c r="S5" s="13" t="n">
        <f aca="false">IF(Capital!N5="","",Capital!N5)</f>
        <v>5.78063473447442</v>
      </c>
      <c r="T5" s="10" t="n">
        <f aca="false">IF(Profitability!I5="","",Profitability!I5)</f>
        <v>4014.48</v>
      </c>
      <c r="U5" s="10" t="n">
        <f aca="false">IF(Profitability!N5="","",Profitability!N5)</f>
        <v>511.64</v>
      </c>
      <c r="V5" s="11" t="str">
        <f aca="false">IF(Profitability!O5="","",Profitability!O5)</f>
        <v/>
      </c>
      <c r="W5" s="11" t="str">
        <f aca="false">IF(Profitability!P5="","",Profitability!P5)</f>
        <v/>
      </c>
      <c r="X5" s="12" t="n">
        <f aca="false">IF(Profitability!Q5="","",Profitability!Q5)</f>
        <v>0.445180944979175</v>
      </c>
      <c r="Y5" s="12" t="n">
        <f aca="false">IF(Profitability!R5="","",Profitability!R5)</f>
        <v>0.346134493134852</v>
      </c>
      <c r="Z5" s="10" t="n">
        <f aca="false">IF(Liquidity!D5="","",Liquidity!D5)</f>
        <v>603.88</v>
      </c>
      <c r="AA5" s="12" t="n">
        <f aca="false">IF(Liquidity!H5="","",Liquidity!H5)</f>
        <v>0.104470970484709</v>
      </c>
      <c r="AB5" s="11" t="str">
        <f aca="false">IF(Liquidity!L5="","",Liquidity!L5)</f>
        <v/>
      </c>
    </row>
    <row r="6" customFormat="false" ht="15" hidden="false" customHeight="false" outlineLevel="0" collapsed="false">
      <c r="A6" s="8" t="s">
        <v>74</v>
      </c>
      <c r="B6" s="9" t="s">
        <v>73</v>
      </c>
      <c r="C6" s="10" t="n">
        <f aca="false">IF(AUM!B6="","",AUM!B6)</f>
        <v>57832.53</v>
      </c>
      <c r="D6" s="11" t="n">
        <f aca="false">IF(AUM!D6="","",AUM!D6)</f>
        <v>0.204983199106064</v>
      </c>
      <c r="E6" s="11" t="n">
        <f aca="false">IF(Asset_Quality!E6="","",Asset_Quality!E6)</f>
        <v>0.101788387953977</v>
      </c>
      <c r="F6" s="11" t="n">
        <f aca="false">IF(Asset_Quality!F6="","",Asset_Quality!F6)</f>
        <v>0.0721082206526092</v>
      </c>
      <c r="G6" s="10" t="n">
        <f aca="false">IF(Asset_Quality!B6="","",Asset_Quality!B6)</f>
        <v>5886.68</v>
      </c>
      <c r="H6" s="10" t="n">
        <f aca="false">IF(Asset_Quality!D6="","",Asset_Quality!D6)</f>
        <v>4036.81</v>
      </c>
      <c r="I6" s="12" t="n">
        <f aca="false">IF(Asset_Quality!G6="","",Asset_Quality!G6)</f>
        <v>0.314246740097984</v>
      </c>
      <c r="J6" s="11" t="n">
        <f aca="false">IF(Stage_ECL!K6="","",Stage_ECL!K6)</f>
        <v>0.107688812027418</v>
      </c>
      <c r="K6" s="11" t="n">
        <f aca="false">IF(Stage_ECL!L6="","",Stage_ECL!L6)</f>
        <v>0.101793069913524</v>
      </c>
      <c r="L6" s="10" t="n">
        <f aca="false">IF(Stage_ECL!H6="","",Stage_ECL!H6)</f>
        <v>3282.8</v>
      </c>
      <c r="M6" s="10" t="n">
        <f aca="false">IF(Credit_Losses!B6="","",Credit_Losses!B6)</f>
        <v>676.86</v>
      </c>
      <c r="N6" s="11" t="n">
        <f aca="false">IF(Credit_Losses!E6="","",Credit_Losses!E6)</f>
        <v>0.0127918206128871</v>
      </c>
      <c r="O6" s="10" t="n">
        <f aca="false">IF(Credit_Losses!C6="","",Credit_Losses!C6)</f>
        <v>1041.6</v>
      </c>
      <c r="P6" s="12" t="n">
        <f aca="false">IF(Capital!B6="","",Capital!B6)</f>
        <v>0.22</v>
      </c>
      <c r="Q6" s="12" t="n">
        <f aca="false">IF(Capital!C6="","",Capital!C6)</f>
        <v>0.161</v>
      </c>
      <c r="R6" s="13" t="n">
        <f aca="false">IF(Capital!O6="","",Capital!O6)</f>
        <v>5.8729552704473</v>
      </c>
      <c r="S6" s="13" t="n">
        <f aca="false">IF(Capital!N6="","",Capital!N6)</f>
        <v>4.49857001429986</v>
      </c>
      <c r="T6" s="10" t="n">
        <f aca="false">IF(Profitability!I6="","",Profitability!I6)</f>
        <v>4475.99</v>
      </c>
      <c r="U6" s="10" t="n">
        <f aca="false">IF(Profitability!N6="","",Profitability!N6)</f>
        <v>1185.19</v>
      </c>
      <c r="V6" s="11" t="n">
        <f aca="false">IF(Profitability!O6="","",Profitability!O6)</f>
        <v>0.0216929852855501</v>
      </c>
      <c r="W6" s="11" t="n">
        <f aca="false">IF(Profitability!P6="","",Profitability!P6)</f>
        <v>0.140966841826066</v>
      </c>
      <c r="X6" s="12" t="n">
        <f aca="false">IF(Profitability!Q6="","",Profitability!Q6)</f>
        <v>0.430074687387595</v>
      </c>
      <c r="Y6" s="12" t="n">
        <f aca="false">IF(Profitability!R6="","",Profitability!R6)</f>
        <v>0.151220176988778</v>
      </c>
      <c r="Z6" s="10" t="n">
        <f aca="false">IF(Liquidity!D6="","",Liquidity!D6)</f>
        <v>477.91</v>
      </c>
      <c r="AA6" s="12" t="n">
        <f aca="false">IF(Liquidity!H6="","",Liquidity!H6)</f>
        <v>0.0678442142748379</v>
      </c>
      <c r="AB6" s="11" t="n">
        <f aca="false">IF(Liquidity!L6="","",Liquidity!L6)</f>
        <v>0.0801002829929182</v>
      </c>
    </row>
    <row r="7" customFormat="false" ht="15" hidden="false" customHeight="false" outlineLevel="0" collapsed="false">
      <c r="A7" s="8" t="s">
        <v>75</v>
      </c>
      <c r="B7" s="9" t="s">
        <v>73</v>
      </c>
      <c r="C7" s="10" t="n">
        <f aca="false">IF(AUM!B7="","",AUM!B7)</f>
        <v>71161.53</v>
      </c>
      <c r="D7" s="11" t="n">
        <f aca="false">IF(AUM!D7="","",AUM!D7)</f>
        <v>0.230475823900493</v>
      </c>
      <c r="E7" s="11" t="n">
        <f aca="false">IF(Asset_Quality!E7="","",Asset_Quality!E7)</f>
        <v>0.0719259408840704</v>
      </c>
      <c r="F7" s="11" t="n">
        <f aca="false">IF(Asset_Quality!F7="","",Asset_Quality!F7)</f>
        <v>0.0590759127159559</v>
      </c>
      <c r="G7" s="10" t="n">
        <f aca="false">IF(Asset_Quality!B7="","",Asset_Quality!B7)</f>
        <v>5118.36</v>
      </c>
      <c r="H7" s="10" t="n">
        <f aca="false">IF(Asset_Quality!D7="","",Asset_Quality!D7)</f>
        <v>4146.52</v>
      </c>
      <c r="I7" s="12" t="n">
        <f aca="false">IF(Asset_Quality!G7="","",Asset_Quality!G7)</f>
        <v>0.189873318797427</v>
      </c>
      <c r="J7" s="11" t="n">
        <f aca="false">IF(Stage_ECL!K7="","",Stage_ECL!K7)</f>
        <v>0.0961692177109741</v>
      </c>
      <c r="K7" s="11" t="n">
        <f aca="false">IF(Stage_ECL!L7="","",Stage_ECL!L7)</f>
        <v>0.0719270830405675</v>
      </c>
      <c r="L7" s="10" t="n">
        <f aca="false">IF(Stage_ECL!H7="","",Stage_ECL!H7)</f>
        <v>2222.53</v>
      </c>
      <c r="M7" s="10" t="n">
        <f aca="false">IF(Credit_Losses!B7="","",Credit_Losses!B7)</f>
        <v>717.11</v>
      </c>
      <c r="N7" s="11" t="n">
        <f aca="false">IF(Credit_Losses!E7="","",Credit_Losses!E7)</f>
        <v>0.0111184964641008</v>
      </c>
      <c r="O7" s="10" t="n">
        <f aca="false">IF(Credit_Losses!C7="","",Credit_Losses!C7)</f>
        <v>1801.71</v>
      </c>
      <c r="P7" s="12" t="n">
        <f aca="false">IF(Capital!B7="","",Capital!B7)</f>
        <v>0.203</v>
      </c>
      <c r="Q7" s="12" t="n">
        <f aca="false">IF(Capital!C7="","",Capital!C7)</f>
        <v>0.155</v>
      </c>
      <c r="R7" s="13" t="n">
        <f aca="false">IF(Capital!O7="","",Capital!O7)</f>
        <v>6.57200025027473</v>
      </c>
      <c r="S7" s="13" t="n">
        <f aca="false">IF(Capital!N7="","",Capital!N7)</f>
        <v>5.18188715958451</v>
      </c>
      <c r="T7" s="10" t="n">
        <f aca="false">IF(Profitability!I7="","",Profitability!I7)</f>
        <v>5998.57</v>
      </c>
      <c r="U7" s="10" t="n">
        <f aca="false">IF(Profitability!N7="","",Profitability!N7)</f>
        <v>1827.3</v>
      </c>
      <c r="V7" s="11" t="n">
        <f aca="false">IF(Profitability!O7="","",Profitability!O7)</f>
        <v>0.02801491994628</v>
      </c>
      <c r="W7" s="11" t="n">
        <f aca="false">IF(Profitability!P7="","",Profitability!P7)</f>
        <v>0.173006842447602</v>
      </c>
      <c r="X7" s="12" t="n">
        <f aca="false">IF(Profitability!Q7="","",Profitability!Q7)</f>
        <v>0.414703837747997</v>
      </c>
      <c r="Y7" s="12" t="n">
        <f aca="false">IF(Profitability!R7="","",Profitability!R7)</f>
        <v>0.119546825326703</v>
      </c>
      <c r="Z7" s="10" t="n">
        <f aca="false">IF(Liquidity!D7="","",Liquidity!D7)</f>
        <v>994.03</v>
      </c>
      <c r="AA7" s="12" t="n">
        <f aca="false">IF(Liquidity!H7="","",Liquidity!H7)</f>
        <v>0.0957614773198426</v>
      </c>
      <c r="AB7" s="11" t="n">
        <f aca="false">IF(Liquidity!L7="","",Liquidity!L7)</f>
        <v>0.0854104486492002</v>
      </c>
    </row>
    <row r="8" customFormat="false" ht="15" hidden="false" customHeight="false" outlineLevel="0" collapsed="false">
      <c r="A8" s="8" t="s">
        <v>76</v>
      </c>
      <c r="B8" s="9" t="s">
        <v>73</v>
      </c>
      <c r="C8" s="10" t="n">
        <f aca="false">IF(AUM!B8="","",AUM!B8)</f>
        <v>76520.33</v>
      </c>
      <c r="D8" s="11" t="n">
        <f aca="false">IF(AUM!D8="","",AUM!D8)</f>
        <v>0.0753047327678311</v>
      </c>
      <c r="E8" s="11" t="n">
        <f aca="false">IF(Asset_Quality!E8="","",Asset_Quality!E8)</f>
        <v>0.0917234674758982</v>
      </c>
      <c r="F8" s="11" t="n">
        <f aca="false">IF(Asset_Quality!F8="","",Asset_Quality!F8)</f>
        <v>0.0649686354739402</v>
      </c>
      <c r="G8" s="10" t="n">
        <f aca="false">IF(Asset_Quality!B8="","",Asset_Quality!B8)</f>
        <v>7018.71</v>
      </c>
      <c r="H8" s="10" t="n">
        <f aca="false">IF(Asset_Quality!D8="","",Asset_Quality!D8)</f>
        <v>4829.17</v>
      </c>
      <c r="I8" s="12" t="n">
        <f aca="false">IF(Asset_Quality!G8="","",Asset_Quality!G8)</f>
        <v>0.311957610444084</v>
      </c>
      <c r="J8" s="11" t="n">
        <f aca="false">IF(Stage_ECL!K8="","",Stage_ECL!K8)</f>
        <v>0.105854747376799</v>
      </c>
      <c r="K8" s="11" t="n">
        <f aca="false">IF(Stage_ECL!L8="","",Stage_ECL!L8)</f>
        <v>0.0917249418772568</v>
      </c>
      <c r="L8" s="10" t="n">
        <f aca="false">IF(Stage_ECL!H8="","",Stage_ECL!H8)</f>
        <v>3656.54</v>
      </c>
      <c r="M8" s="10" t="n">
        <f aca="false">IF(Credit_Losses!B8="","",Credit_Losses!B8)</f>
        <v>2318.98</v>
      </c>
      <c r="N8" s="11" t="n">
        <f aca="false">IF(Credit_Losses!E8="","",Credit_Losses!E8)</f>
        <v>0.0314050757486397</v>
      </c>
      <c r="O8" s="10" t="n">
        <f aca="false">IF(Credit_Losses!C8="","",Credit_Losses!C8)</f>
        <v>889.38</v>
      </c>
      <c r="P8" s="12" t="n">
        <f aca="false">IF(Capital!B8="","",Capital!B8)</f>
        <v>0.196</v>
      </c>
      <c r="Q8" s="12" t="n">
        <f aca="false">IF(Capital!C8="","",Capital!C8)</f>
        <v>0.154</v>
      </c>
      <c r="R8" s="13" t="n">
        <f aca="false">IF(Capital!O8="","",Capital!O8)</f>
        <v>6.78288004988937</v>
      </c>
      <c r="S8" s="13" t="n">
        <f aca="false">IF(Capital!N8="","",Capital!N8)</f>
        <v>5.44290419846949</v>
      </c>
      <c r="T8" s="10" t="n">
        <f aca="false">IF(Profitability!I8="","",Profitability!I8)</f>
        <v>6605.9</v>
      </c>
      <c r="U8" s="10" t="n">
        <f aca="false">IF(Profitability!N8="","",Profitability!N8)</f>
        <v>1075.15</v>
      </c>
      <c r="V8" s="11" t="n">
        <f aca="false">IF(Profitability!O8="","",Profitability!O8)</f>
        <v>0.0138879589278023</v>
      </c>
      <c r="W8" s="11" t="n">
        <f aca="false">IF(Profitability!P8="","",Profitability!P8)</f>
        <v>0.0925337012361639</v>
      </c>
      <c r="X8" s="12" t="n">
        <f aca="false">IF(Profitability!Q8="","",Profitability!Q8)</f>
        <v>0.413386518112596</v>
      </c>
      <c r="Y8" s="12" t="n">
        <f aca="false">IF(Profitability!R8="","",Profitability!R8)</f>
        <v>0.351046791504564</v>
      </c>
      <c r="Z8" s="10" t="n">
        <f aca="false">IF(Liquidity!D8="","",Liquidity!D8)</f>
        <v>1531.6</v>
      </c>
      <c r="AA8" s="12" t="n">
        <f aca="false">IF(Liquidity!H8="","",Liquidity!H8)</f>
        <v>0.133792819113926</v>
      </c>
      <c r="AB8" s="11" t="n">
        <f aca="false">IF(Liquidity!L8="","",Liquidity!L8)</f>
        <v>0.0866399766112437</v>
      </c>
    </row>
    <row r="9" customFormat="false" ht="15" hidden="false" customHeight="false" outlineLevel="0" collapsed="false">
      <c r="A9" s="8" t="s">
        <v>77</v>
      </c>
      <c r="B9" s="9" t="s">
        <v>73</v>
      </c>
      <c r="C9" s="10" t="n">
        <f aca="false">IF(AUM!B9="","",AUM!B9)</f>
        <v>72239.57</v>
      </c>
      <c r="D9" s="11" t="n">
        <f aca="false">IF(AUM!D9="","",AUM!D9)</f>
        <v>-0.0559427801735826</v>
      </c>
      <c r="E9" s="11" t="n">
        <f aca="false">IF(Asset_Quality!E9="","",Asset_Quality!E9)</f>
        <v>0.0939111348531006</v>
      </c>
      <c r="F9" s="11" t="n">
        <f aca="false">IF(Asset_Quality!F9="","",Asset_Quality!F9)</f>
        <v>0.0460655715724772</v>
      </c>
      <c r="G9" s="10" t="n">
        <f aca="false">IF(Asset_Quality!B9="","",Asset_Quality!B9)</f>
        <v>6784.1</v>
      </c>
      <c r="H9" s="10" t="n">
        <f aca="false">IF(Asset_Quality!D9="","",Asset_Quality!D9)</f>
        <v>3160.85</v>
      </c>
      <c r="I9" s="12" t="n">
        <f aca="false">IF(Asset_Quality!G9="","",Asset_Quality!G9)</f>
        <v>0.534079686325378</v>
      </c>
      <c r="J9" s="11" t="n">
        <f aca="false">IF(Stage_ECL!K9="","",Stage_ECL!K9)</f>
        <v>0.141169970865903</v>
      </c>
      <c r="K9" s="11" t="n">
        <f aca="false">IF(Stage_ECL!L9="","",Stage_ECL!L9)</f>
        <v>0.0939126818735415</v>
      </c>
      <c r="L9" s="10" t="n">
        <f aca="false">IF(Stage_ECL!H9="","",Stage_ECL!H9)</f>
        <v>5163.85</v>
      </c>
      <c r="M9" s="10" t="n">
        <f aca="false">IF(Credit_Losses!B9="","",Credit_Losses!B9)</f>
        <v>3998.74</v>
      </c>
      <c r="N9" s="11" t="n">
        <f aca="false">IF(Credit_Losses!E9="","",Credit_Losses!E9)</f>
        <v>0.0537609933859864</v>
      </c>
      <c r="O9" s="10" t="n">
        <f aca="false">IF(Credit_Losses!C9="","",Credit_Losses!C9)</f>
        <v>2486.85</v>
      </c>
      <c r="P9" s="12" t="n">
        <f aca="false">IF(Capital!B9="","",Capital!B9)</f>
        <v>0.26</v>
      </c>
      <c r="Q9" s="12" t="n">
        <f aca="false">IF(Capital!C9="","",Capital!C9)</f>
        <v>0.222</v>
      </c>
      <c r="R9" s="13" t="n">
        <f aca="false">IF(Capital!O9="","",Capital!O9)</f>
        <v>5.39201172623007</v>
      </c>
      <c r="S9" s="13" t="n">
        <f aca="false">IF(Capital!N9="","",Capital!N9)</f>
        <v>4.1007129215295</v>
      </c>
      <c r="T9" s="10" t="n">
        <f aca="false">IF(Profitability!I9="","",Profitability!I9)</f>
        <v>6862.93</v>
      </c>
      <c r="U9" s="10" t="n">
        <f aca="false">IF(Profitability!N9="","",Profitability!N9)</f>
        <v>773.21</v>
      </c>
      <c r="V9" s="11" t="n">
        <f aca="false">IF(Profitability!O9="","",Profitability!O9)</f>
        <v>0.00932269979067894</v>
      </c>
      <c r="W9" s="11" t="n">
        <f aca="false">IF(Profitability!P9="","",Profitability!P9)</f>
        <v>0.0557361462471036</v>
      </c>
      <c r="X9" s="12" t="n">
        <f aca="false">IF(Profitability!Q9="","",Profitability!Q9)</f>
        <v>0.320290313320987</v>
      </c>
      <c r="Y9" s="12" t="n">
        <f aca="false">IF(Profitability!R9="","",Profitability!R9)</f>
        <v>0.582657844390078</v>
      </c>
      <c r="Z9" s="10" t="n">
        <f aca="false">IF(Liquidity!D9="","",Liquidity!D9)</f>
        <v>3982.52</v>
      </c>
      <c r="AA9" s="12" t="n">
        <f aca="false">IF(Liquidity!H9="","",Liquidity!H9)</f>
        <v>0.143871325994475</v>
      </c>
      <c r="AB9" s="11" t="n">
        <f aca="false">IF(Liquidity!L9="","",Liquidity!L9)</f>
        <v>0.0811957362053782</v>
      </c>
    </row>
    <row r="10" customFormat="false" ht="15" hidden="false" customHeight="false" outlineLevel="0" collapsed="false">
      <c r="A10" s="8" t="s">
        <v>78</v>
      </c>
      <c r="B10" s="9" t="s">
        <v>73</v>
      </c>
      <c r="C10" s="10" t="n">
        <f aca="false">IF(AUM!B10="","",AUM!B10)</f>
        <v>72741.07</v>
      </c>
      <c r="D10" s="11" t="n">
        <f aca="false">IF(AUM!D10="","",AUM!D10)</f>
        <v>0.00694217864253632</v>
      </c>
      <c r="E10" s="11" t="n">
        <f aca="false">IF(Asset_Quality!E10="","",Asset_Quality!E10)</f>
        <v>0.0804123447730422</v>
      </c>
      <c r="F10" s="11" t="n">
        <f aca="false">IF(Asset_Quality!F10="","",Asset_Quality!F10)</f>
        <v>0.0391878489027227</v>
      </c>
      <c r="G10" s="10" t="n">
        <f aca="false">IF(Asset_Quality!B10="","",Asset_Quality!B10)</f>
        <v>5849.28</v>
      </c>
      <c r="H10" s="10" t="n">
        <f aca="false">IF(Asset_Quality!D10="","",Asset_Quality!D10)</f>
        <v>2728.26</v>
      </c>
      <c r="I10" s="12" t="n">
        <f aca="false">IF(Asset_Quality!G10="","",Asset_Quality!G10)</f>
        <v>0.533573362875431</v>
      </c>
      <c r="J10" s="11" t="n">
        <f aca="false">IF(Stage_ECL!K10="","",Stage_ECL!K10)</f>
        <v>0.155456696301531</v>
      </c>
      <c r="K10" s="11" t="n">
        <f aca="false">IF(Stage_ECL!L10="","",Stage_ECL!L10)</f>
        <v>0.080412532701685</v>
      </c>
      <c r="L10" s="10" t="n">
        <f aca="false">IF(Stage_ECL!H10="","",Stage_ECL!H10)</f>
        <v>5081.38</v>
      </c>
      <c r="M10" s="10" t="n">
        <f aca="false">IF(Credit_Losses!B10="","",Credit_Losses!B10)</f>
        <v>2690.38</v>
      </c>
      <c r="N10" s="11" t="n">
        <f aca="false">IF(Credit_Losses!E10="","",Credit_Losses!E10)</f>
        <v>0.0371136449666659</v>
      </c>
      <c r="O10" s="10" t="n">
        <f aca="false">IF(Credit_Losses!C10="","",Credit_Losses!C10)</f>
        <v>2777.3</v>
      </c>
      <c r="P10" s="12" t="n">
        <f aca="false">IF(Capital!B10="","",Capital!B10)</f>
        <v>0.278</v>
      </c>
      <c r="Q10" s="12" t="n">
        <f aca="false">IF(Capital!C10="","",Capital!C10)</f>
        <v>0.243</v>
      </c>
      <c r="R10" s="13" t="n">
        <f aca="false">IF(Capital!O10="","",Capital!O10)</f>
        <v>4.91899174598554</v>
      </c>
      <c r="S10" s="13" t="n">
        <f aca="false">IF(Capital!N10="","",Capital!N10)</f>
        <v>3.64634749735441</v>
      </c>
      <c r="T10" s="10" t="n">
        <f aca="false">IF(Profitability!I10="","",Profitability!I10)</f>
        <v>6983.14</v>
      </c>
      <c r="U10" s="10" t="n">
        <f aca="false">IF(Profitability!N10="","",Profitability!N10)</f>
        <v>1136.87</v>
      </c>
      <c r="V10" s="11" t="n">
        <f aca="false">IF(Profitability!O10="","",Profitability!O10)</f>
        <v>0.0135805731007987</v>
      </c>
      <c r="W10" s="11" t="n">
        <f aca="false">IF(Profitability!P10="","",Profitability!P10)</f>
        <v>0.0695914752019118</v>
      </c>
      <c r="X10" s="12" t="n">
        <f aca="false">IF(Profitability!Q10="","",Profitability!Q10)</f>
        <v>0.402244549013767</v>
      </c>
      <c r="Y10" s="12" t="n">
        <f aca="false">IF(Profitability!R10="","",Profitability!R10)</f>
        <v>0.385267945365552</v>
      </c>
      <c r="Z10" s="10" t="n">
        <f aca="false">IF(Liquidity!D10="","",Liquidity!D10)</f>
        <v>4827.61</v>
      </c>
      <c r="AA10" s="12" t="n">
        <f aca="false">IF(Liquidity!H10="","",Liquidity!H10)</f>
        <v>0.133379090079247</v>
      </c>
      <c r="AB10" s="11" t="n">
        <f aca="false">IF(Liquidity!L10="","",Liquidity!L10)</f>
        <v>0.069440992597616</v>
      </c>
    </row>
    <row r="11" customFormat="false" ht="15" hidden="false" customHeight="false" outlineLevel="0" collapsed="false">
      <c r="A11" s="8" t="s">
        <v>79</v>
      </c>
      <c r="B11" s="9" t="s">
        <v>73</v>
      </c>
      <c r="C11" s="10" t="n">
        <f aca="false">IF(AUM!B11="","",AUM!B11)</f>
        <v>90105.36</v>
      </c>
      <c r="D11" s="11" t="n">
        <f aca="false">IF(AUM!D11="","",AUM!D11)</f>
        <v>0.238713700527089</v>
      </c>
      <c r="E11" s="11" t="n">
        <f aca="false">IF(Asset_Quality!E11="","",Asset_Quality!E11)</f>
        <v>0.0499638423285807</v>
      </c>
      <c r="F11" s="11" t="n">
        <f aca="false">IF(Asset_Quality!F11="","",Asset_Quality!F11)</f>
        <v>0.0238772404903593</v>
      </c>
      <c r="G11" s="10" t="n">
        <f aca="false">IF(Asset_Quality!B11="","",Asset_Quality!B11)</f>
        <v>4502.01</v>
      </c>
      <c r="H11" s="10" t="n">
        <f aca="false">IF(Asset_Quality!D11="","",Asset_Quality!D11)</f>
        <v>2093.97</v>
      </c>
      <c r="I11" s="12" t="n">
        <f aca="false">IF(Asset_Quality!G11="","",Asset_Quality!G11)</f>
        <v>0.534881086448053</v>
      </c>
      <c r="J11" s="11" t="n">
        <f aca="false">IF(Stage_ECL!K11="","",Stage_ECL!K11)</f>
        <v>0.0672662247760258</v>
      </c>
      <c r="K11" s="11" t="n">
        <f aca="false">IF(Stage_ECL!L11="","",Stage_ECL!L11)</f>
        <v>0.0499639033241681</v>
      </c>
      <c r="L11" s="10" t="n">
        <f aca="false">IF(Stage_ECL!H11="","",Stage_ECL!H11)</f>
        <v>3649.29</v>
      </c>
      <c r="M11" s="10" t="n">
        <f aca="false">IF(Credit_Losses!B11="","",Credit_Losses!B11)</f>
        <v>1182.59</v>
      </c>
      <c r="N11" s="11" t="n">
        <f aca="false">IF(Credit_Losses!E11="","",Credit_Losses!E11)</f>
        <v>0.0145239904860057</v>
      </c>
      <c r="O11" s="10" t="n">
        <f aca="false">IF(Credit_Losses!C11="","",Credit_Losses!C11)</f>
        <v>2606.74</v>
      </c>
      <c r="P11" s="12" t="n">
        <f aca="false">IF(Capital!B11="","",Capital!B11)</f>
        <v>0.225</v>
      </c>
      <c r="Q11" s="12" t="n">
        <f aca="false">IF(Capital!C11="","",Capital!C11)</f>
        <v>0.199</v>
      </c>
      <c r="R11" s="13" t="n">
        <f aca="false">IF(Capital!O11="","",Capital!O11)</f>
        <v>5.61907371838746</v>
      </c>
      <c r="S11" s="13" t="n">
        <f aca="false">IF(Capital!N11="","",Capital!N11)</f>
        <v>4.35413315766059</v>
      </c>
      <c r="T11" s="10" t="n">
        <f aca="false">IF(Profitability!I11="","",Profitability!I11)</f>
        <v>7738.1</v>
      </c>
      <c r="U11" s="10" t="n">
        <f aca="false">IF(Profitability!N11="","",Profitability!N11)</f>
        <v>2072.4</v>
      </c>
      <c r="V11" s="11" t="n">
        <f aca="false">IF(Profitability!O11="","",Profitability!O11)</f>
        <v>0.0219298268833292</v>
      </c>
      <c r="W11" s="11" t="n">
        <f aca="false">IF(Profitability!P11="","",Profitability!P11)</f>
        <v>0.11689850069381</v>
      </c>
      <c r="X11" s="12" t="n">
        <f aca="false">IF(Profitability!Q11="","",Profitability!Q11)</f>
        <v>0.483194841110867</v>
      </c>
      <c r="Y11" s="12" t="n">
        <f aca="false">IF(Profitability!R11="","",Profitability!R11)</f>
        <v>0.152826921337279</v>
      </c>
      <c r="Z11" s="10" t="n">
        <f aca="false">IF(Liquidity!D11="","",Liquidity!D11)</f>
        <v>4066.91</v>
      </c>
      <c r="AA11" s="12" t="n">
        <f aca="false">IF(Liquidity!H11="","",Liquidity!H11)</f>
        <v>0.0670371673034621</v>
      </c>
      <c r="AB11" s="11" t="n">
        <f aca="false">IF(Liquidity!L11="","",Liquidity!L11)</f>
        <v>0.0709738949451772</v>
      </c>
    </row>
    <row r="12" customFormat="false" ht="15" hidden="false" customHeight="false" outlineLevel="0" collapsed="false">
      <c r="A12" s="8" t="s">
        <v>80</v>
      </c>
      <c r="B12" s="9" t="s">
        <v>73</v>
      </c>
      <c r="C12" s="10" t="n">
        <f aca="false">IF(AUM!B12="","",AUM!B12)</f>
        <v>110025.82</v>
      </c>
      <c r="D12" s="11" t="n">
        <f aca="false">IF(AUM!D12="","",AUM!D12)</f>
        <v>0.221079633886375</v>
      </c>
      <c r="E12" s="11" t="n">
        <f aca="false">IF(Asset_Quality!E12="","",Asset_Quality!E12)</f>
        <v>0.0377565920435767</v>
      </c>
      <c r="F12" s="11" t="n">
        <f aca="false">IF(Asset_Quality!F12="","",Asset_Quality!F12)</f>
        <v>0.0160643828098753</v>
      </c>
      <c r="G12" s="10" t="n">
        <f aca="false">IF(Asset_Quality!B12="","",Asset_Quality!B12)</f>
        <v>4154.2</v>
      </c>
      <c r="H12" s="10" t="n">
        <f aca="false">IF(Asset_Quality!D12="","",Asset_Quality!D12)</f>
        <v>1728.53</v>
      </c>
      <c r="I12" s="12" t="n">
        <f aca="false">IF(Asset_Quality!G12="","",Asset_Quality!G12)</f>
        <v>0.583907852294064</v>
      </c>
      <c r="J12" s="11" t="n">
        <f aca="false">IF(Stage_ECL!K12="","",Stage_ECL!K12)</f>
        <v>0.0526387734361069</v>
      </c>
      <c r="K12" s="11" t="n">
        <f aca="false">IF(Stage_ECL!L12="","",Stage_ECL!L12)</f>
        <v>0.0377566194964924</v>
      </c>
      <c r="L12" s="10" t="n">
        <f aca="false">IF(Stage_ECL!H12="","",Stage_ECL!H12)</f>
        <v>3681.86</v>
      </c>
      <c r="M12" s="10" t="n">
        <f aca="false">IF(Credit_Losses!B12="","",Credit_Losses!B12)</f>
        <v>1955.75</v>
      </c>
      <c r="N12" s="11" t="n">
        <f aca="false">IF(Credit_Losses!E12="","",Credit_Losses!E12)</f>
        <v>0.0195446806439656</v>
      </c>
      <c r="O12" s="10" t="n">
        <f aca="false">IF(Credit_Losses!C12="","",Credit_Losses!C12)</f>
        <v>1931.3</v>
      </c>
      <c r="P12" s="12" t="n">
        <f aca="false">IF(Capital!B12="","",Capital!B12)</f>
        <v>0.189</v>
      </c>
      <c r="Q12" s="12" t="n">
        <f aca="false">IF(Capital!C12="","",Capital!C12)</f>
        <v>0.164</v>
      </c>
      <c r="R12" s="13" t="n">
        <f aca="false">IF(Capital!O12="","",Capital!O12)</f>
        <v>6.19357482355321</v>
      </c>
      <c r="S12" s="13" t="n">
        <f aca="false">IF(Capital!N12="","",Capital!N12)</f>
        <v>4.92214363454863</v>
      </c>
      <c r="T12" s="10" t="n">
        <f aca="false">IF(Profitability!I12="","",Profitability!I12)</f>
        <v>9011.12</v>
      </c>
      <c r="U12" s="10" t="n">
        <f aca="false">IF(Profitability!N12="","",Profitability!N12)</f>
        <v>1932.69</v>
      </c>
      <c r="V12" s="11" t="n">
        <f aca="false">IF(Profitability!O12="","",Profitability!O12)</f>
        <v>0.0169846612263536</v>
      </c>
      <c r="W12" s="11" t="n">
        <f aca="false">IF(Profitability!P12="","",Profitability!P12)</f>
        <v>0.100416851330646</v>
      </c>
      <c r="X12" s="12" t="n">
        <f aca="false">IF(Profitability!Q12="","",Profitability!Q12)</f>
        <v>0.501968678699207</v>
      </c>
      <c r="Y12" s="12" t="n">
        <f aca="false">IF(Profitability!R12="","",Profitability!R12)</f>
        <v>0.217037393797885</v>
      </c>
      <c r="Z12" s="10" t="n">
        <f aca="false">IF(Liquidity!D12="","",Liquidity!D12)</f>
        <v>3455.01</v>
      </c>
      <c r="AA12" s="12" t="n">
        <f aca="false">IF(Liquidity!H12="","",Liquidity!H12)</f>
        <v>0.0729738963312633</v>
      </c>
      <c r="AB12" s="11" t="n">
        <f aca="false">IF(Liquidity!L12="","",Liquidity!L12)</f>
        <v>0.0774329839788205</v>
      </c>
    </row>
    <row r="13" customFormat="false" ht="15" hidden="false" customHeight="false" outlineLevel="0" collapsed="false">
      <c r="A13" s="8" t="s">
        <v>81</v>
      </c>
      <c r="B13" s="9" t="s">
        <v>73</v>
      </c>
      <c r="C13" s="14" t="str">
        <f aca="false">IF(AUM!B13="","",AUM!B13)</f>
        <v/>
      </c>
      <c r="D13" s="15" t="str">
        <f aca="false">IF(AUM!D13="","",AUM!D13)</f>
        <v/>
      </c>
      <c r="E13" s="15" t="str">
        <f aca="false">IF(Asset_Quality!E13="","",Asset_Quality!E13)</f>
        <v/>
      </c>
      <c r="F13" s="15" t="str">
        <f aca="false">IF(Asset_Quality!F13="","",Asset_Quality!F13)</f>
        <v/>
      </c>
      <c r="G13" s="14" t="str">
        <f aca="false">IF(Asset_Quality!B13="","",Asset_Quality!B13)</f>
        <v/>
      </c>
      <c r="H13" s="14" t="str">
        <f aca="false">IF(Asset_Quality!D13="","",Asset_Quality!D13)</f>
        <v/>
      </c>
      <c r="I13" s="16" t="str">
        <f aca="false">IF(Asset_Quality!G13="","",Asset_Quality!G13)</f>
        <v/>
      </c>
      <c r="J13" s="15" t="str">
        <f aca="false">IF(Stage_ECL!K13="","",Stage_ECL!K13)</f>
        <v/>
      </c>
      <c r="K13" s="15" t="str">
        <f aca="false">IF(Stage_ECL!L13="","",Stage_ECL!L13)</f>
        <v/>
      </c>
      <c r="L13" s="14" t="str">
        <f aca="false">IF(Stage_ECL!H13="","",Stage_ECL!H13)</f>
        <v/>
      </c>
      <c r="M13" s="14" t="str">
        <f aca="false">IF(Credit_Losses!B13="","",Credit_Losses!B13)</f>
        <v/>
      </c>
      <c r="N13" s="15" t="str">
        <f aca="false">IF(Credit_Losses!E13="","",Credit_Losses!E13)</f>
        <v/>
      </c>
      <c r="O13" s="14" t="str">
        <f aca="false">IF(Credit_Losses!C13="","",Credit_Losses!C13)</f>
        <v/>
      </c>
      <c r="P13" s="16" t="n">
        <f aca="false">IF(Capital!B13="","",Capital!B13)</f>
        <v>0.183</v>
      </c>
      <c r="Q13" s="16" t="n">
        <f aca="false">IF(Capital!C13="","",Capital!C13)</f>
        <v>0.152</v>
      </c>
      <c r="R13" s="17" t="str">
        <f aca="false">IF(Capital!O13="","",Capital!O13)</f>
        <v/>
      </c>
      <c r="S13" s="17" t="str">
        <f aca="false">IF(Capital!N13="","",Capital!N13)</f>
        <v/>
      </c>
      <c r="T13" s="14" t="str">
        <f aca="false">IF(Profitability!I13="","",Profitability!I13)</f>
        <v/>
      </c>
      <c r="U13" s="14" t="str">
        <f aca="false">IF(Profitability!N13="","",Profitability!N13)</f>
        <v/>
      </c>
      <c r="V13" s="15" t="str">
        <f aca="false">IF(Profitability!O13="","",Profitability!O13)</f>
        <v/>
      </c>
      <c r="W13" s="15" t="str">
        <f aca="false">IF(Profitability!P13="","",Profitability!P13)</f>
        <v/>
      </c>
      <c r="X13" s="16" t="str">
        <f aca="false">IF(Profitability!Q13="","",Profitability!Q13)</f>
        <v/>
      </c>
      <c r="Y13" s="16" t="str">
        <f aca="false">IF(Profitability!R13="","",Profitability!R13)</f>
        <v/>
      </c>
      <c r="Z13" s="14" t="str">
        <f aca="false">IF(Liquidity!D13="","",Liquidity!D13)</f>
        <v/>
      </c>
      <c r="AA13" s="16" t="str">
        <f aca="false">IF(Liquidity!H13="","",Liquidity!H13)</f>
        <v/>
      </c>
      <c r="AB13" s="15" t="str">
        <f aca="false">IF(Liquidity!L13="","",Liquidity!L13)</f>
        <v/>
      </c>
    </row>
    <row r="14" customFormat="false" ht="15" hidden="false" customHeight="false" outlineLevel="0" collapsed="false">
      <c r="A14" s="8" t="s">
        <v>82</v>
      </c>
      <c r="B14" s="9" t="s">
        <v>73</v>
      </c>
      <c r="C14" s="14" t="str">
        <f aca="false">IF(AUM!B14="","",AUM!B14)</f>
        <v/>
      </c>
      <c r="D14" s="15" t="str">
        <f aca="false">IF(AUM!D14="","",AUM!D14)</f>
        <v/>
      </c>
      <c r="E14" s="15" t="str">
        <f aca="false">IF(Asset_Quality!E14="","",Asset_Quality!E14)</f>
        <v/>
      </c>
      <c r="F14" s="15" t="str">
        <f aca="false">IF(Asset_Quality!F14="","",Asset_Quality!F14)</f>
        <v/>
      </c>
      <c r="G14" s="14" t="str">
        <f aca="false">IF(Asset_Quality!B14="","",Asset_Quality!B14)</f>
        <v/>
      </c>
      <c r="H14" s="14" t="str">
        <f aca="false">IF(Asset_Quality!D14="","",Asset_Quality!D14)</f>
        <v/>
      </c>
      <c r="I14" s="16" t="str">
        <f aca="false">IF(Asset_Quality!G14="","",Asset_Quality!G14)</f>
        <v/>
      </c>
      <c r="J14" s="15" t="str">
        <f aca="false">IF(Stage_ECL!K14="","",Stage_ECL!K14)</f>
        <v/>
      </c>
      <c r="K14" s="15" t="str">
        <f aca="false">IF(Stage_ECL!L14="","",Stage_ECL!L14)</f>
        <v/>
      </c>
      <c r="L14" s="14" t="str">
        <f aca="false">IF(Stage_ECL!H14="","",Stage_ECL!H14)</f>
        <v/>
      </c>
      <c r="M14" s="14" t="str">
        <f aca="false">IF(Credit_Losses!B14="","",Credit_Losses!B14)</f>
        <v/>
      </c>
      <c r="N14" s="15" t="str">
        <f aca="false">IF(Credit_Losses!E14="","",Credit_Losses!E14)</f>
        <v/>
      </c>
      <c r="O14" s="14" t="str">
        <f aca="false">IF(Credit_Losses!C14="","",Credit_Losses!C14)</f>
        <v/>
      </c>
      <c r="P14" s="16" t="n">
        <f aca="false">IF(Capital!B14="","",Capital!B14)</f>
        <v>0.188</v>
      </c>
      <c r="Q14" s="16" t="n">
        <f aca="false">IF(Capital!C14="","",Capital!C14)</f>
        <v>0.167</v>
      </c>
      <c r="R14" s="17" t="str">
        <f aca="false">IF(Capital!O14="","",Capital!O14)</f>
        <v/>
      </c>
      <c r="S14" s="17" t="str">
        <f aca="false">IF(Capital!N14="","",Capital!N14)</f>
        <v/>
      </c>
      <c r="T14" s="14" t="str">
        <f aca="false">IF(Profitability!I14="","",Profitability!I14)</f>
        <v/>
      </c>
      <c r="U14" s="14" t="str">
        <f aca="false">IF(Profitability!N14="","",Profitability!N14)</f>
        <v/>
      </c>
      <c r="V14" s="15" t="str">
        <f aca="false">IF(Profitability!O14="","",Profitability!O14)</f>
        <v/>
      </c>
      <c r="W14" s="15" t="str">
        <f aca="false">IF(Profitability!P14="","",Profitability!P14)</f>
        <v/>
      </c>
      <c r="X14" s="16" t="str">
        <f aca="false">IF(Profitability!Q14="","",Profitability!Q14)</f>
        <v/>
      </c>
      <c r="Y14" s="16" t="str">
        <f aca="false">IF(Profitability!R14="","",Profitability!R14)</f>
        <v/>
      </c>
      <c r="Z14" s="14" t="str">
        <f aca="false">IF(Liquidity!D14="","",Liquidity!D14)</f>
        <v/>
      </c>
      <c r="AA14" s="16" t="str">
        <f aca="false">IF(Liquidity!H14="","",Liquidity!H14)</f>
        <v/>
      </c>
      <c r="AB14" s="15" t="str">
        <f aca="false">IF(Liquidity!L14="","",Liquidity!L14)</f>
        <v/>
      </c>
    </row>
    <row r="16" customFormat="false" ht="15" hidden="false" customHeight="false" outlineLevel="0" collapsed="false">
      <c r="A16" s="6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32"/>
    <col collapsed="false" customWidth="true" hidden="false" outlineLevel="0" max="4" min="4" style="0" width="34"/>
    <col collapsed="false" customWidth="true" hidden="false" outlineLevel="0" max="5" min="5" style="0" width="40"/>
    <col collapsed="false" customWidth="true" hidden="false" outlineLevel="0" max="6" min="6" style="0" width="48"/>
    <col collapsed="false" customWidth="true" hidden="false" outlineLevel="0" max="7" min="7" style="0" width="22"/>
  </cols>
  <sheetData>
    <row r="1" customFormat="false" ht="17.35" hidden="false" customHeight="false" outlineLevel="0" collapsed="false">
      <c r="A1" s="1" t="s">
        <v>84</v>
      </c>
    </row>
    <row r="2" customFormat="false" ht="15" hidden="false" customHeight="false" outlineLevel="0" collapsed="false">
      <c r="A2" s="6" t="s">
        <v>85</v>
      </c>
    </row>
    <row r="4" customFormat="false" ht="15" hidden="false" customHeight="false" outlineLevel="0" collapsed="false">
      <c r="A4" s="7" t="s">
        <v>86</v>
      </c>
      <c r="B4" s="7" t="s">
        <v>17</v>
      </c>
      <c r="C4" s="7" t="s">
        <v>87</v>
      </c>
      <c r="D4" s="7" t="s">
        <v>88</v>
      </c>
      <c r="E4" s="7" t="s">
        <v>89</v>
      </c>
      <c r="F4" s="7" t="s">
        <v>90</v>
      </c>
      <c r="G4" s="7" t="s">
        <v>91</v>
      </c>
    </row>
    <row r="5" customFormat="false" ht="15" hidden="false" customHeight="false" outlineLevel="0" collapsed="false">
      <c r="A5" s="18" t="n">
        <v>1</v>
      </c>
      <c r="B5" s="18" t="s">
        <v>23</v>
      </c>
      <c r="C5" s="18" t="s">
        <v>47</v>
      </c>
      <c r="D5" s="18" t="s">
        <v>92</v>
      </c>
      <c r="E5" s="18" t="s">
        <v>93</v>
      </c>
      <c r="F5" s="19" t="s">
        <v>94</v>
      </c>
      <c r="G5" s="18" t="s">
        <v>95</v>
      </c>
    </row>
    <row r="6" customFormat="false" ht="15" hidden="false" customHeight="false" outlineLevel="0" collapsed="false">
      <c r="A6" s="18" t="n">
        <v>2</v>
      </c>
      <c r="B6" s="18" t="s">
        <v>23</v>
      </c>
      <c r="C6" s="18" t="s">
        <v>96</v>
      </c>
      <c r="D6" s="18" t="s">
        <v>97</v>
      </c>
      <c r="E6" s="18" t="s">
        <v>98</v>
      </c>
      <c r="F6" s="19" t="s">
        <v>99</v>
      </c>
      <c r="G6" s="18" t="s">
        <v>100</v>
      </c>
    </row>
    <row r="7" customFormat="false" ht="15" hidden="false" customHeight="false" outlineLevel="0" collapsed="false">
      <c r="A7" s="18" t="n">
        <v>3</v>
      </c>
      <c r="B7" s="18" t="s">
        <v>23</v>
      </c>
      <c r="C7" s="18" t="s">
        <v>101</v>
      </c>
      <c r="D7" s="18" t="s">
        <v>102</v>
      </c>
      <c r="E7" s="18" t="s">
        <v>103</v>
      </c>
      <c r="F7" s="19" t="s">
        <v>104</v>
      </c>
      <c r="G7" s="18" t="s">
        <v>105</v>
      </c>
    </row>
    <row r="8" customFormat="false" ht="15" hidden="false" customHeight="false" outlineLevel="0" collapsed="false">
      <c r="A8" s="18" t="n">
        <v>4</v>
      </c>
      <c r="B8" s="18" t="s">
        <v>29</v>
      </c>
      <c r="C8" s="18" t="s">
        <v>106</v>
      </c>
      <c r="D8" s="18" t="s">
        <v>107</v>
      </c>
      <c r="E8" s="18" t="s">
        <v>108</v>
      </c>
      <c r="F8" s="19" t="s">
        <v>109</v>
      </c>
      <c r="G8" s="18" t="s">
        <v>110</v>
      </c>
    </row>
    <row r="9" customFormat="false" ht="15" hidden="false" customHeight="false" outlineLevel="0" collapsed="false">
      <c r="A9" s="18" t="n">
        <v>5</v>
      </c>
      <c r="B9" s="18" t="s">
        <v>29</v>
      </c>
      <c r="C9" s="18" t="s">
        <v>111</v>
      </c>
      <c r="D9" s="18" t="s">
        <v>112</v>
      </c>
      <c r="E9" s="18" t="s">
        <v>113</v>
      </c>
      <c r="F9" s="19" t="s">
        <v>114</v>
      </c>
      <c r="G9" s="18" t="s">
        <v>115</v>
      </c>
    </row>
    <row r="10" customFormat="false" ht="15" hidden="false" customHeight="false" outlineLevel="0" collapsed="false">
      <c r="A10" s="18" t="n">
        <v>6</v>
      </c>
      <c r="B10" s="18" t="s">
        <v>29</v>
      </c>
      <c r="C10" s="18" t="s">
        <v>116</v>
      </c>
      <c r="D10" s="18" t="s">
        <v>117</v>
      </c>
      <c r="E10" s="18" t="s">
        <v>118</v>
      </c>
      <c r="F10" s="19" t="s">
        <v>119</v>
      </c>
      <c r="G10" s="18" t="s">
        <v>120</v>
      </c>
    </row>
    <row r="11" customFormat="false" ht="15" hidden="false" customHeight="false" outlineLevel="0" collapsed="false">
      <c r="A11" s="18" t="n">
        <v>7</v>
      </c>
      <c r="B11" s="18" t="s">
        <v>29</v>
      </c>
      <c r="C11" s="18" t="s">
        <v>121</v>
      </c>
      <c r="D11" s="18" t="s">
        <v>122</v>
      </c>
      <c r="E11" s="18" t="s">
        <v>123</v>
      </c>
      <c r="F11" s="19" t="s">
        <v>124</v>
      </c>
      <c r="G11" s="18" t="s">
        <v>125</v>
      </c>
    </row>
    <row r="12" customFormat="false" ht="15" hidden="false" customHeight="false" outlineLevel="0" collapsed="false">
      <c r="A12" s="18" t="n">
        <v>8</v>
      </c>
      <c r="B12" s="18" t="s">
        <v>29</v>
      </c>
      <c r="C12" s="18" t="s">
        <v>126</v>
      </c>
      <c r="D12" s="18" t="s">
        <v>127</v>
      </c>
      <c r="E12" s="18" t="s">
        <v>128</v>
      </c>
      <c r="F12" s="19" t="s">
        <v>129</v>
      </c>
      <c r="G12" s="18" t="s">
        <v>130</v>
      </c>
    </row>
    <row r="13" customFormat="false" ht="15" hidden="false" customHeight="false" outlineLevel="0" collapsed="false">
      <c r="A13" s="18" t="n">
        <v>9</v>
      </c>
      <c r="B13" s="18" t="s">
        <v>29</v>
      </c>
      <c r="C13" s="18" t="s">
        <v>131</v>
      </c>
      <c r="D13" s="18" t="s">
        <v>132</v>
      </c>
      <c r="E13" s="18" t="s">
        <v>133</v>
      </c>
      <c r="F13" s="19" t="s">
        <v>134</v>
      </c>
      <c r="G13" s="18" t="s">
        <v>135</v>
      </c>
    </row>
    <row r="14" customFormat="false" ht="15" hidden="false" customHeight="false" outlineLevel="0" collapsed="false">
      <c r="A14" s="18" t="n">
        <v>10</v>
      </c>
      <c r="B14" s="18" t="s">
        <v>29</v>
      </c>
      <c r="C14" s="18" t="s">
        <v>136</v>
      </c>
      <c r="D14" s="18" t="s">
        <v>137</v>
      </c>
      <c r="E14" s="18" t="s">
        <v>138</v>
      </c>
      <c r="F14" s="19" t="s">
        <v>139</v>
      </c>
      <c r="G14" s="18" t="s">
        <v>140</v>
      </c>
    </row>
    <row r="15" customFormat="false" ht="15" hidden="false" customHeight="false" outlineLevel="0" collapsed="false">
      <c r="A15" s="18" t="n">
        <v>11</v>
      </c>
      <c r="B15" s="18" t="s">
        <v>29</v>
      </c>
      <c r="C15" s="18" t="s">
        <v>141</v>
      </c>
      <c r="D15" s="18" t="s">
        <v>142</v>
      </c>
      <c r="E15" s="18" t="s">
        <v>143</v>
      </c>
      <c r="F15" s="19" t="s">
        <v>144</v>
      </c>
      <c r="G15" s="18" t="s">
        <v>145</v>
      </c>
    </row>
    <row r="16" customFormat="false" ht="15" hidden="false" customHeight="false" outlineLevel="0" collapsed="false">
      <c r="A16" s="18" t="n">
        <v>12</v>
      </c>
      <c r="B16" s="18" t="s">
        <v>29</v>
      </c>
      <c r="C16" s="18" t="s">
        <v>146</v>
      </c>
      <c r="D16" s="18" t="s">
        <v>147</v>
      </c>
      <c r="E16" s="18" t="s">
        <v>143</v>
      </c>
      <c r="F16" s="19" t="s">
        <v>148</v>
      </c>
      <c r="G16" s="18" t="s">
        <v>149</v>
      </c>
    </row>
    <row r="17" customFormat="false" ht="15" hidden="false" customHeight="false" outlineLevel="0" collapsed="false">
      <c r="A17" s="18" t="n">
        <v>13</v>
      </c>
      <c r="B17" s="18" t="s">
        <v>27</v>
      </c>
      <c r="C17" s="18" t="s">
        <v>150</v>
      </c>
      <c r="D17" s="18" t="s">
        <v>151</v>
      </c>
      <c r="E17" s="18" t="s">
        <v>152</v>
      </c>
      <c r="F17" s="19" t="s">
        <v>153</v>
      </c>
      <c r="G17" s="18" t="s">
        <v>154</v>
      </c>
    </row>
    <row r="18" customFormat="false" ht="15" hidden="false" customHeight="false" outlineLevel="0" collapsed="false">
      <c r="A18" s="18" t="n">
        <v>14</v>
      </c>
      <c r="B18" s="18" t="s">
        <v>27</v>
      </c>
      <c r="C18" s="18" t="s">
        <v>155</v>
      </c>
      <c r="D18" s="18" t="s">
        <v>156</v>
      </c>
      <c r="E18" s="18" t="s">
        <v>157</v>
      </c>
      <c r="F18" s="19" t="s">
        <v>158</v>
      </c>
      <c r="G18" s="18" t="s">
        <v>159</v>
      </c>
    </row>
    <row r="19" customFormat="false" ht="15" hidden="false" customHeight="false" outlineLevel="0" collapsed="false">
      <c r="A19" s="18" t="n">
        <v>15</v>
      </c>
      <c r="B19" s="18" t="s">
        <v>27</v>
      </c>
      <c r="C19" s="18" t="s">
        <v>160</v>
      </c>
      <c r="D19" s="18" t="s">
        <v>161</v>
      </c>
      <c r="E19" s="18" t="s">
        <v>162</v>
      </c>
      <c r="F19" s="19" t="s">
        <v>163</v>
      </c>
      <c r="G19" s="18" t="s">
        <v>164</v>
      </c>
    </row>
    <row r="20" customFormat="false" ht="15" hidden="false" customHeight="false" outlineLevel="0" collapsed="false">
      <c r="A20" s="18" t="n">
        <v>16</v>
      </c>
      <c r="B20" s="18" t="s">
        <v>27</v>
      </c>
      <c r="C20" s="18" t="s">
        <v>165</v>
      </c>
      <c r="D20" s="18" t="s">
        <v>166</v>
      </c>
      <c r="E20" s="18" t="s">
        <v>167</v>
      </c>
      <c r="F20" s="19" t="s">
        <v>168</v>
      </c>
      <c r="G20" s="18" t="s">
        <v>169</v>
      </c>
    </row>
    <row r="21" customFormat="false" ht="15" hidden="false" customHeight="false" outlineLevel="0" collapsed="false">
      <c r="A21" s="18" t="n">
        <v>17</v>
      </c>
      <c r="B21" s="18" t="s">
        <v>27</v>
      </c>
      <c r="C21" s="18" t="s">
        <v>170</v>
      </c>
      <c r="D21" s="18" t="s">
        <v>171</v>
      </c>
      <c r="E21" s="18" t="s">
        <v>172</v>
      </c>
      <c r="F21" s="19" t="s">
        <v>173</v>
      </c>
      <c r="G21" s="18" t="s">
        <v>174</v>
      </c>
    </row>
    <row r="22" customFormat="false" ht="15" hidden="false" customHeight="false" outlineLevel="0" collapsed="false">
      <c r="A22" s="18" t="n">
        <v>18</v>
      </c>
      <c r="B22" s="18" t="s">
        <v>25</v>
      </c>
      <c r="C22" s="18" t="s">
        <v>175</v>
      </c>
      <c r="D22" s="18" t="s">
        <v>176</v>
      </c>
      <c r="E22" s="18" t="s">
        <v>177</v>
      </c>
      <c r="F22" s="19" t="s">
        <v>178</v>
      </c>
      <c r="G22" s="18" t="s">
        <v>179</v>
      </c>
    </row>
    <row r="23" customFormat="false" ht="15" hidden="false" customHeight="false" outlineLevel="0" collapsed="false">
      <c r="A23" s="18" t="n">
        <v>19</v>
      </c>
      <c r="B23" s="18" t="s">
        <v>25</v>
      </c>
      <c r="C23" s="18" t="s">
        <v>180</v>
      </c>
      <c r="D23" s="18" t="s">
        <v>181</v>
      </c>
      <c r="E23" s="18" t="s">
        <v>182</v>
      </c>
      <c r="F23" s="19" t="s">
        <v>183</v>
      </c>
      <c r="G23" s="18" t="s">
        <v>184</v>
      </c>
    </row>
    <row r="24" customFormat="false" ht="15" hidden="false" customHeight="false" outlineLevel="0" collapsed="false">
      <c r="A24" s="18" t="n">
        <v>20</v>
      </c>
      <c r="B24" s="18" t="s">
        <v>25</v>
      </c>
      <c r="C24" s="18" t="s">
        <v>185</v>
      </c>
      <c r="D24" s="18" t="s">
        <v>186</v>
      </c>
      <c r="E24" s="18" t="s">
        <v>187</v>
      </c>
      <c r="F24" s="19" t="s">
        <v>188</v>
      </c>
      <c r="G24" s="18" t="s">
        <v>189</v>
      </c>
    </row>
    <row r="25" customFormat="false" ht="15" hidden="false" customHeight="false" outlineLevel="0" collapsed="false">
      <c r="A25" s="18" t="n">
        <v>21</v>
      </c>
      <c r="B25" s="18" t="s">
        <v>25</v>
      </c>
      <c r="C25" s="18" t="s">
        <v>190</v>
      </c>
      <c r="D25" s="18" t="s">
        <v>191</v>
      </c>
      <c r="E25" s="18" t="s">
        <v>187</v>
      </c>
      <c r="F25" s="19" t="s">
        <v>192</v>
      </c>
      <c r="G25" s="18" t="s">
        <v>193</v>
      </c>
    </row>
    <row r="26" customFormat="false" ht="15" hidden="false" customHeight="false" outlineLevel="0" collapsed="false">
      <c r="A26" s="18" t="n">
        <v>22</v>
      </c>
      <c r="B26" s="18" t="s">
        <v>31</v>
      </c>
      <c r="C26" s="18" t="s">
        <v>194</v>
      </c>
      <c r="D26" s="18" t="s">
        <v>195</v>
      </c>
      <c r="E26" s="18" t="s">
        <v>196</v>
      </c>
      <c r="F26" s="19" t="s">
        <v>153</v>
      </c>
      <c r="G26" s="18" t="s">
        <v>197</v>
      </c>
    </row>
    <row r="27" customFormat="false" ht="15" hidden="false" customHeight="false" outlineLevel="0" collapsed="false">
      <c r="A27" s="18" t="n">
        <v>23</v>
      </c>
      <c r="B27" s="18" t="s">
        <v>31</v>
      </c>
      <c r="C27" s="18" t="s">
        <v>57</v>
      </c>
      <c r="D27" s="18" t="s">
        <v>198</v>
      </c>
      <c r="E27" s="18" t="s">
        <v>199</v>
      </c>
      <c r="F27" s="19" t="s">
        <v>200</v>
      </c>
      <c r="G27" s="18" t="s">
        <v>201</v>
      </c>
    </row>
    <row r="28" customFormat="false" ht="15" hidden="false" customHeight="false" outlineLevel="0" collapsed="false">
      <c r="A28" s="18" t="n">
        <v>24</v>
      </c>
      <c r="B28" s="18" t="s">
        <v>31</v>
      </c>
      <c r="C28" s="18" t="s">
        <v>202</v>
      </c>
      <c r="D28" s="18" t="s">
        <v>203</v>
      </c>
      <c r="E28" s="18" t="s">
        <v>204</v>
      </c>
      <c r="F28" s="19" t="s">
        <v>205</v>
      </c>
      <c r="G28" s="18" t="s">
        <v>206</v>
      </c>
    </row>
    <row r="29" customFormat="false" ht="15" hidden="false" customHeight="false" outlineLevel="0" collapsed="false">
      <c r="A29" s="18" t="n">
        <v>25</v>
      </c>
      <c r="B29" s="18" t="s">
        <v>31</v>
      </c>
      <c r="C29" s="18" t="s">
        <v>207</v>
      </c>
      <c r="D29" s="18" t="s">
        <v>208</v>
      </c>
      <c r="E29" s="18" t="s">
        <v>209</v>
      </c>
      <c r="F29" s="19" t="s">
        <v>210</v>
      </c>
      <c r="G29" s="18" t="s">
        <v>211</v>
      </c>
    </row>
    <row r="30" customFormat="false" ht="15" hidden="false" customHeight="false" outlineLevel="0" collapsed="false">
      <c r="A30" s="18" t="n">
        <v>26</v>
      </c>
      <c r="B30" s="18" t="s">
        <v>35</v>
      </c>
      <c r="C30" s="18" t="s">
        <v>212</v>
      </c>
      <c r="D30" s="18" t="s">
        <v>213</v>
      </c>
      <c r="E30" s="18" t="s">
        <v>214</v>
      </c>
      <c r="F30" s="19" t="s">
        <v>215</v>
      </c>
      <c r="G30" s="18" t="s">
        <v>216</v>
      </c>
    </row>
    <row r="31" customFormat="false" ht="28.35" hidden="false" customHeight="false" outlineLevel="0" collapsed="false">
      <c r="A31" s="18" t="n">
        <v>27</v>
      </c>
      <c r="B31" s="18" t="s">
        <v>35</v>
      </c>
      <c r="C31" s="18" t="s">
        <v>217</v>
      </c>
      <c r="D31" s="18" t="s">
        <v>218</v>
      </c>
      <c r="E31" s="18" t="s">
        <v>219</v>
      </c>
      <c r="F31" s="19" t="s">
        <v>220</v>
      </c>
      <c r="G31" s="18" t="s">
        <v>221</v>
      </c>
    </row>
    <row r="32" customFormat="false" ht="15" hidden="false" customHeight="false" outlineLevel="0" collapsed="false">
      <c r="A32" s="18" t="n">
        <v>28</v>
      </c>
      <c r="B32" s="18" t="s">
        <v>35</v>
      </c>
      <c r="C32" s="18" t="s">
        <v>222</v>
      </c>
      <c r="D32" s="18" t="s">
        <v>223</v>
      </c>
      <c r="E32" s="18" t="s">
        <v>224</v>
      </c>
      <c r="F32" s="19" t="s">
        <v>225</v>
      </c>
      <c r="G32" s="18" t="s">
        <v>226</v>
      </c>
    </row>
    <row r="33" customFormat="false" ht="22.35" hidden="false" customHeight="false" outlineLevel="0" collapsed="false">
      <c r="A33" s="18" t="n">
        <v>29</v>
      </c>
      <c r="B33" s="18" t="s">
        <v>35</v>
      </c>
      <c r="C33" s="18" t="s">
        <v>227</v>
      </c>
      <c r="D33" s="18" t="s">
        <v>228</v>
      </c>
      <c r="E33" s="18" t="s">
        <v>229</v>
      </c>
      <c r="F33" s="19" t="s">
        <v>230</v>
      </c>
      <c r="G33" s="18" t="s">
        <v>231</v>
      </c>
    </row>
    <row r="34" customFormat="false" ht="22.35" hidden="false" customHeight="false" outlineLevel="0" collapsed="false">
      <c r="A34" s="18" t="n">
        <v>30</v>
      </c>
      <c r="B34" s="18" t="s">
        <v>35</v>
      </c>
      <c r="C34" s="18" t="s">
        <v>232</v>
      </c>
      <c r="D34" s="18" t="s">
        <v>233</v>
      </c>
      <c r="E34" s="18" t="s">
        <v>234</v>
      </c>
      <c r="F34" s="19" t="s">
        <v>235</v>
      </c>
      <c r="G34" s="18" t="s">
        <v>236</v>
      </c>
    </row>
    <row r="35" customFormat="false" ht="15" hidden="false" customHeight="false" outlineLevel="0" collapsed="false">
      <c r="A35" s="18" t="n">
        <v>31</v>
      </c>
      <c r="B35" s="18" t="s">
        <v>35</v>
      </c>
      <c r="C35" s="18" t="s">
        <v>237</v>
      </c>
      <c r="D35" s="18" t="s">
        <v>238</v>
      </c>
      <c r="E35" s="18" t="s">
        <v>239</v>
      </c>
      <c r="F35" s="19" t="s">
        <v>240</v>
      </c>
      <c r="G35" s="18" t="s">
        <v>241</v>
      </c>
    </row>
    <row r="36" customFormat="false" ht="15" hidden="false" customHeight="false" outlineLevel="0" collapsed="false">
      <c r="A36" s="18" t="n">
        <v>32</v>
      </c>
      <c r="B36" s="18" t="s">
        <v>35</v>
      </c>
      <c r="C36" s="18" t="s">
        <v>68</v>
      </c>
      <c r="D36" s="18" t="s">
        <v>242</v>
      </c>
      <c r="E36" s="18" t="s">
        <v>243</v>
      </c>
      <c r="F36" s="19" t="s">
        <v>244</v>
      </c>
      <c r="G36" s="18" t="s">
        <v>245</v>
      </c>
    </row>
    <row r="37" customFormat="false" ht="15" hidden="false" customHeight="false" outlineLevel="0" collapsed="false">
      <c r="A37" s="18" t="n">
        <v>33</v>
      </c>
      <c r="B37" s="18" t="s">
        <v>35</v>
      </c>
      <c r="C37" s="18" t="s">
        <v>246</v>
      </c>
      <c r="D37" s="18" t="s">
        <v>247</v>
      </c>
      <c r="E37" s="18" t="s">
        <v>248</v>
      </c>
      <c r="F37" s="19" t="s">
        <v>249</v>
      </c>
      <c r="G37" s="18" t="s">
        <v>250</v>
      </c>
    </row>
    <row r="38" customFormat="false" ht="15" hidden="false" customHeight="false" outlineLevel="0" collapsed="false">
      <c r="A38" s="18" t="n">
        <v>34</v>
      </c>
      <c r="B38" s="18" t="s">
        <v>33</v>
      </c>
      <c r="C38" s="18" t="s">
        <v>251</v>
      </c>
      <c r="D38" s="18" t="s">
        <v>252</v>
      </c>
      <c r="E38" s="18" t="s">
        <v>253</v>
      </c>
      <c r="F38" s="19" t="s">
        <v>254</v>
      </c>
      <c r="G38" s="18" t="s">
        <v>255</v>
      </c>
    </row>
    <row r="39" customFormat="false" ht="28.35" hidden="false" customHeight="false" outlineLevel="0" collapsed="false">
      <c r="A39" s="18" t="n">
        <v>35</v>
      </c>
      <c r="B39" s="18" t="s">
        <v>33</v>
      </c>
      <c r="C39" s="18" t="s">
        <v>256</v>
      </c>
      <c r="D39" s="18" t="s">
        <v>257</v>
      </c>
      <c r="E39" s="18" t="s">
        <v>258</v>
      </c>
      <c r="F39" s="19" t="s">
        <v>259</v>
      </c>
      <c r="G39" s="18" t="s">
        <v>260</v>
      </c>
    </row>
    <row r="40" customFormat="false" ht="15" hidden="false" customHeight="false" outlineLevel="0" collapsed="false">
      <c r="A40" s="18" t="n">
        <v>36</v>
      </c>
      <c r="B40" s="18" t="s">
        <v>33</v>
      </c>
      <c r="C40" s="18" t="s">
        <v>261</v>
      </c>
      <c r="D40" s="18" t="s">
        <v>262</v>
      </c>
      <c r="E40" s="18" t="s">
        <v>263</v>
      </c>
      <c r="F40" s="19" t="s">
        <v>264</v>
      </c>
      <c r="G40" s="18" t="s">
        <v>265</v>
      </c>
    </row>
    <row r="41" customFormat="false" ht="15" hidden="false" customHeight="false" outlineLevel="0" collapsed="false">
      <c r="A41" s="18" t="n">
        <v>37</v>
      </c>
      <c r="B41" s="18" t="s">
        <v>33</v>
      </c>
      <c r="C41" s="18" t="s">
        <v>266</v>
      </c>
      <c r="D41" s="18" t="s">
        <v>267</v>
      </c>
      <c r="E41" s="18" t="s">
        <v>268</v>
      </c>
      <c r="F41" s="19" t="s">
        <v>269</v>
      </c>
      <c r="G41" s="18" t="s">
        <v>270</v>
      </c>
    </row>
    <row r="42" customFormat="false" ht="15" hidden="false" customHeight="false" outlineLevel="0" collapsed="false">
      <c r="A42" s="18" t="n">
        <v>38</v>
      </c>
      <c r="B42" s="18" t="s">
        <v>33</v>
      </c>
      <c r="C42" s="18" t="s">
        <v>271</v>
      </c>
      <c r="D42" s="18" t="s">
        <v>272</v>
      </c>
      <c r="E42" s="18" t="s">
        <v>273</v>
      </c>
      <c r="F42" s="19" t="s">
        <v>274</v>
      </c>
      <c r="G42" s="18" t="s">
        <v>275</v>
      </c>
    </row>
    <row r="43" customFormat="false" ht="15" hidden="false" customHeight="false" outlineLevel="0" collapsed="false">
      <c r="A43" s="18" t="n">
        <v>39</v>
      </c>
      <c r="B43" s="18" t="s">
        <v>37</v>
      </c>
      <c r="C43" s="18" t="s">
        <v>276</v>
      </c>
      <c r="D43" s="18" t="s">
        <v>277</v>
      </c>
      <c r="E43" s="18" t="s">
        <v>278</v>
      </c>
      <c r="F43" s="19" t="s">
        <v>279</v>
      </c>
      <c r="G43" s="18" t="s">
        <v>280</v>
      </c>
    </row>
    <row r="44" customFormat="false" ht="15" hidden="false" customHeight="false" outlineLevel="0" collapsed="false">
      <c r="A44" s="18" t="n">
        <v>40</v>
      </c>
      <c r="B44" s="18" t="s">
        <v>37</v>
      </c>
      <c r="C44" s="18" t="s">
        <v>281</v>
      </c>
      <c r="D44" s="18" t="s">
        <v>282</v>
      </c>
      <c r="E44" s="18" t="s">
        <v>283</v>
      </c>
      <c r="F44" s="19" t="s">
        <v>284</v>
      </c>
      <c r="G44" s="18" t="s">
        <v>285</v>
      </c>
    </row>
    <row r="45" customFormat="false" ht="15" hidden="false" customHeight="false" outlineLevel="0" collapsed="false">
      <c r="A45" s="18" t="n">
        <v>41</v>
      </c>
      <c r="B45" s="18" t="s">
        <v>37</v>
      </c>
      <c r="C45" s="18" t="s">
        <v>286</v>
      </c>
      <c r="D45" s="18" t="s">
        <v>287</v>
      </c>
      <c r="E45" s="18" t="s">
        <v>288</v>
      </c>
      <c r="F45" s="19" t="s">
        <v>289</v>
      </c>
      <c r="G45" s="18" t="s">
        <v>290</v>
      </c>
    </row>
    <row r="46" customFormat="false" ht="15" hidden="false" customHeight="false" outlineLevel="0" collapsed="false">
      <c r="A46" s="18" t="n">
        <v>42</v>
      </c>
      <c r="B46" s="18" t="s">
        <v>37</v>
      </c>
      <c r="C46" s="18" t="s">
        <v>291</v>
      </c>
      <c r="D46" s="18" t="s">
        <v>292</v>
      </c>
      <c r="E46" s="18" t="s">
        <v>293</v>
      </c>
      <c r="F46" s="19" t="s">
        <v>294</v>
      </c>
      <c r="G46" s="18" t="s">
        <v>295</v>
      </c>
    </row>
    <row r="47" customFormat="false" ht="28.35" hidden="false" customHeight="false" outlineLevel="0" collapsed="false">
      <c r="A47" s="18" t="n">
        <v>43</v>
      </c>
      <c r="B47" s="18" t="s">
        <v>37</v>
      </c>
      <c r="C47" s="18" t="s">
        <v>296</v>
      </c>
      <c r="D47" s="18" t="s">
        <v>297</v>
      </c>
      <c r="E47" s="18" t="s">
        <v>298</v>
      </c>
      <c r="F47" s="19" t="s">
        <v>299</v>
      </c>
      <c r="G47" s="18" t="s">
        <v>300</v>
      </c>
    </row>
    <row r="48" customFormat="false" ht="15" hidden="false" customHeight="false" outlineLevel="0" collapsed="false">
      <c r="A48" s="18" t="n">
        <v>44</v>
      </c>
      <c r="B48" s="18" t="s">
        <v>19</v>
      </c>
      <c r="C48" s="18" t="s">
        <v>301</v>
      </c>
      <c r="D48" s="18" t="s">
        <v>302</v>
      </c>
      <c r="E48" s="18" t="s">
        <v>303</v>
      </c>
      <c r="F48" s="19" t="s">
        <v>304</v>
      </c>
      <c r="G48" s="18" t="s">
        <v>305</v>
      </c>
    </row>
    <row r="49" customFormat="false" ht="28.35" hidden="false" customHeight="false" outlineLevel="0" collapsed="false">
      <c r="A49" s="18" t="n">
        <v>45</v>
      </c>
      <c r="B49" s="18" t="s">
        <v>306</v>
      </c>
      <c r="C49" s="18" t="s">
        <v>307</v>
      </c>
      <c r="D49" s="18" t="s">
        <v>308</v>
      </c>
      <c r="E49" s="18" t="s">
        <v>309</v>
      </c>
      <c r="F49" s="19"/>
      <c r="G49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6" min="2" style="0" width="15"/>
    <col collapsed="false" customWidth="true" hidden="false" outlineLevel="0" max="7" min="7" style="0" width="44"/>
  </cols>
  <sheetData>
    <row r="1" customFormat="false" ht="17.35" hidden="false" customHeight="false" outlineLevel="0" collapsed="false">
      <c r="A1" s="1" t="s">
        <v>310</v>
      </c>
    </row>
    <row r="2" customFormat="false" ht="15" hidden="false" customHeight="false" outlineLevel="0" collapsed="false">
      <c r="A2" s="6" t="s">
        <v>311</v>
      </c>
    </row>
    <row r="4" customFormat="false" ht="49.5" hidden="false" customHeight="true" outlineLevel="0" collapsed="false">
      <c r="A4" s="7" t="s">
        <v>44</v>
      </c>
      <c r="B4" s="7" t="s">
        <v>312</v>
      </c>
      <c r="C4" s="7" t="s">
        <v>313</v>
      </c>
      <c r="D4" s="20" t="s">
        <v>47</v>
      </c>
      <c r="E4" s="20" t="s">
        <v>96</v>
      </c>
      <c r="F4" s="20" t="s">
        <v>101</v>
      </c>
      <c r="G4" s="7" t="s">
        <v>314</v>
      </c>
    </row>
    <row r="5" customFormat="false" ht="15" hidden="false" customHeight="false" outlineLevel="0" collapsed="false">
      <c r="A5" s="8" t="s">
        <v>72</v>
      </c>
      <c r="B5" s="21" t="n">
        <v>47994.47</v>
      </c>
      <c r="C5" s="22"/>
      <c r="D5" s="23"/>
      <c r="E5" s="24"/>
      <c r="F5" s="24"/>
      <c r="G5" s="25" t="s">
        <v>315</v>
      </c>
    </row>
    <row r="6" customFormat="false" ht="15" hidden="false" customHeight="false" outlineLevel="0" collapsed="false">
      <c r="A6" s="8" t="s">
        <v>74</v>
      </c>
      <c r="B6" s="21" t="n">
        <v>57832.53</v>
      </c>
      <c r="C6" s="21" t="n">
        <v>54549.73</v>
      </c>
      <c r="D6" s="26" t="n">
        <f aca="false">IF(OR(B6="",B5=""),"",B6/B5-1)</f>
        <v>0.204983199106064</v>
      </c>
      <c r="E6" s="27" t="n">
        <f aca="false">IF(OR(B6="",B5=""),"",B6-B5)</f>
        <v>9838.06</v>
      </c>
      <c r="F6" s="27" t="n">
        <f aca="false">IF(OR(B6="",B5=""),"",AVERAGE(B6,B5))</f>
        <v>52913.5</v>
      </c>
      <c r="G6" s="25" t="s">
        <v>316</v>
      </c>
    </row>
    <row r="7" customFormat="false" ht="15" hidden="false" customHeight="false" outlineLevel="0" collapsed="false">
      <c r="A7" s="8" t="s">
        <v>75</v>
      </c>
      <c r="B7" s="21" t="n">
        <v>71161.53</v>
      </c>
      <c r="C7" s="21" t="n">
        <v>68939</v>
      </c>
      <c r="D7" s="26" t="n">
        <f aca="false">IF(OR(B7="",B6=""),"",B7/B6-1)</f>
        <v>0.230475823900493</v>
      </c>
      <c r="E7" s="27" t="n">
        <f aca="false">IF(OR(B7="",B6=""),"",B7-B6)</f>
        <v>13329</v>
      </c>
      <c r="F7" s="27" t="n">
        <f aca="false">IF(OR(B7="",B6=""),"",AVERAGE(B7,B6))</f>
        <v>64497.03</v>
      </c>
      <c r="G7" s="25" t="s">
        <v>317</v>
      </c>
    </row>
    <row r="8" customFormat="false" ht="15" hidden="false" customHeight="false" outlineLevel="0" collapsed="false">
      <c r="A8" s="8" t="s">
        <v>76</v>
      </c>
      <c r="B8" s="21" t="n">
        <v>76520.33</v>
      </c>
      <c r="C8" s="21" t="n">
        <v>72863.78</v>
      </c>
      <c r="D8" s="26" t="n">
        <f aca="false">IF(OR(B8="",B7=""),"",B8/B7-1)</f>
        <v>0.0753047327678311</v>
      </c>
      <c r="E8" s="27" t="n">
        <f aca="false">IF(OR(B8="",B7=""),"",B8-B7)</f>
        <v>5358.8</v>
      </c>
      <c r="F8" s="27" t="n">
        <f aca="false">IF(OR(B8="",B7=""),"",AVERAGE(B8,B7))</f>
        <v>73840.93</v>
      </c>
      <c r="G8" s="25" t="s">
        <v>318</v>
      </c>
    </row>
    <row r="9" customFormat="false" ht="15" hidden="false" customHeight="false" outlineLevel="0" collapsed="false">
      <c r="A9" s="8" t="s">
        <v>77</v>
      </c>
      <c r="B9" s="21" t="n">
        <v>72239.57</v>
      </c>
      <c r="C9" s="21" t="n">
        <v>67075.72</v>
      </c>
      <c r="D9" s="26" t="n">
        <f aca="false">IF(OR(B9="",B8=""),"",B9/B8-1)</f>
        <v>-0.0559427801735826</v>
      </c>
      <c r="E9" s="27" t="n">
        <f aca="false">IF(OR(B9="",B8=""),"",B9-B8)</f>
        <v>-4280.76</v>
      </c>
      <c r="F9" s="27" t="n">
        <f aca="false">IF(OR(B9="",B8=""),"",AVERAGE(B9,B8))</f>
        <v>74379.95</v>
      </c>
      <c r="G9" s="25" t="s">
        <v>319</v>
      </c>
    </row>
    <row r="10" customFormat="false" ht="15" hidden="false" customHeight="false" outlineLevel="0" collapsed="false">
      <c r="A10" s="8" t="s">
        <v>78</v>
      </c>
      <c r="B10" s="21" t="n">
        <v>72741.07</v>
      </c>
      <c r="C10" s="21" t="n">
        <v>67659.69</v>
      </c>
      <c r="D10" s="26" t="n">
        <f aca="false">IF(OR(B10="",B9=""),"",B10/B9-1)</f>
        <v>0.00694217864253632</v>
      </c>
      <c r="E10" s="27" t="n">
        <f aca="false">IF(OR(B10="",B9=""),"",B10-B9)</f>
        <v>501.5</v>
      </c>
      <c r="F10" s="27" t="n">
        <f aca="false">IF(OR(B10="",B9=""),"",AVERAGE(B10,B9))</f>
        <v>72490.32</v>
      </c>
      <c r="G10" s="25" t="s">
        <v>320</v>
      </c>
    </row>
    <row r="11" customFormat="false" ht="15" hidden="false" customHeight="false" outlineLevel="0" collapsed="false">
      <c r="A11" s="8" t="s">
        <v>79</v>
      </c>
      <c r="B11" s="21" t="n">
        <v>90105.36</v>
      </c>
      <c r="C11" s="21" t="n">
        <v>86456.07</v>
      </c>
      <c r="D11" s="26" t="n">
        <f aca="false">IF(OR(B11="",B10=""),"",B11/B10-1)</f>
        <v>0.238713700527089</v>
      </c>
      <c r="E11" s="27" t="n">
        <f aca="false">IF(OR(B11="",B10=""),"",B11-B10)</f>
        <v>17364.29</v>
      </c>
      <c r="F11" s="27" t="n">
        <f aca="false">IF(OR(B11="",B10=""),"",AVERAGE(B11,B10))</f>
        <v>81423.215</v>
      </c>
      <c r="G11" s="25" t="s">
        <v>321</v>
      </c>
    </row>
    <row r="12" customFormat="false" ht="15" hidden="false" customHeight="false" outlineLevel="0" collapsed="false">
      <c r="A12" s="8" t="s">
        <v>80</v>
      </c>
      <c r="B12" s="21" t="n">
        <v>110025.82</v>
      </c>
      <c r="C12" s="21" t="n">
        <v>106343.96</v>
      </c>
      <c r="D12" s="26" t="n">
        <f aca="false">IF(OR(B12="",B11=""),"",B12/B11-1)</f>
        <v>0.221079633886375</v>
      </c>
      <c r="E12" s="27" t="n">
        <f aca="false">IF(OR(B12="",B11=""),"",B12-B11)</f>
        <v>19920.46</v>
      </c>
      <c r="F12" s="27" t="n">
        <f aca="false">IF(OR(B12="",B11=""),"",AVERAGE(B12,B11))</f>
        <v>100065.59</v>
      </c>
      <c r="G12" s="25" t="s">
        <v>322</v>
      </c>
    </row>
    <row r="13" customFormat="false" ht="15" hidden="false" customHeight="false" outlineLevel="0" collapsed="false">
      <c r="A13" s="8" t="s">
        <v>81</v>
      </c>
      <c r="B13" s="22"/>
      <c r="C13" s="22"/>
      <c r="D13" s="26" t="str">
        <f aca="false">IF(OR(B13="",B12=""),"",B13/B12-1)</f>
        <v/>
      </c>
      <c r="E13" s="27" t="str">
        <f aca="false">IF(OR(B13="",B12=""),"",B13-B12)</f>
        <v/>
      </c>
      <c r="F13" s="27" t="str">
        <f aca="false">IF(OR(B13="",B12=""),"",AVERAGE(B13,B12))</f>
        <v/>
      </c>
      <c r="G13" s="25" t="s">
        <v>323</v>
      </c>
    </row>
    <row r="14" customFormat="false" ht="15" hidden="false" customHeight="false" outlineLevel="0" collapsed="false">
      <c r="A14" s="8" t="s">
        <v>82</v>
      </c>
      <c r="B14" s="22"/>
      <c r="C14" s="22"/>
      <c r="D14" s="26" t="str">
        <f aca="false">IF(OR(B14="",B13=""),"",B14/B13-1)</f>
        <v/>
      </c>
      <c r="E14" s="27" t="str">
        <f aca="false">IF(OR(B14="",B13=""),"",B14-B13)</f>
        <v/>
      </c>
      <c r="F14" s="27" t="str">
        <f aca="false">IF(OR(B14="",B13=""),"",AVERAGE(B14,B13))</f>
        <v/>
      </c>
      <c r="G14" s="25" t="s">
        <v>324</v>
      </c>
    </row>
    <row r="16" customFormat="false" ht="15" hidden="false" customHeight="false" outlineLevel="0" collapsed="false">
      <c r="A16" s="6" t="s">
        <v>325</v>
      </c>
    </row>
    <row r="17" customFormat="false" ht="15" hidden="false" customHeight="false" outlineLevel="0" collapsed="false">
      <c r="A17" s="6" t="s">
        <v>326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15" min="2" style="0" width="15"/>
    <col collapsed="false" customWidth="true" hidden="false" outlineLevel="0" max="16" min="16" style="0" width="44"/>
  </cols>
  <sheetData>
    <row r="1" customFormat="false" ht="17.35" hidden="false" customHeight="false" outlineLevel="0" collapsed="false">
      <c r="A1" s="1" t="s">
        <v>327</v>
      </c>
    </row>
    <row r="2" customFormat="false" ht="15" hidden="false" customHeight="false" outlineLevel="0" collapsed="false">
      <c r="A2" s="6" t="s">
        <v>328</v>
      </c>
    </row>
    <row r="4" customFormat="false" ht="49.5" hidden="false" customHeight="true" outlineLevel="0" collapsed="false">
      <c r="A4" s="7" t="s">
        <v>44</v>
      </c>
      <c r="B4" s="7" t="s">
        <v>329</v>
      </c>
      <c r="C4" s="7" t="s">
        <v>330</v>
      </c>
      <c r="D4" s="7" t="s">
        <v>331</v>
      </c>
      <c r="E4" s="7" t="s">
        <v>332</v>
      </c>
      <c r="F4" s="7" t="s">
        <v>333</v>
      </c>
      <c r="G4" s="7" t="s">
        <v>334</v>
      </c>
      <c r="H4" s="7" t="s">
        <v>335</v>
      </c>
      <c r="I4" s="20" t="s">
        <v>175</v>
      </c>
      <c r="J4" s="20" t="s">
        <v>180</v>
      </c>
      <c r="K4" s="20" t="s">
        <v>185</v>
      </c>
      <c r="L4" s="20" t="s">
        <v>336</v>
      </c>
      <c r="M4" s="20" t="s">
        <v>190</v>
      </c>
      <c r="N4" s="20" t="s">
        <v>337</v>
      </c>
      <c r="O4" s="20" t="s">
        <v>338</v>
      </c>
      <c r="P4" s="7" t="s">
        <v>314</v>
      </c>
    </row>
    <row r="5" customFormat="false" ht="15" hidden="false" customHeight="false" outlineLevel="0" collapsed="false">
      <c r="A5" s="8" t="s">
        <v>72</v>
      </c>
      <c r="B5" s="22"/>
      <c r="C5" s="22"/>
      <c r="D5" s="22"/>
      <c r="E5" s="22"/>
      <c r="F5" s="22"/>
      <c r="G5" s="22"/>
      <c r="H5" s="22"/>
      <c r="I5" s="27" t="str">
        <f aca="false">IF(COUNT(B5:H5)&lt;7,"",SUM(B5:H5))</f>
        <v/>
      </c>
      <c r="J5" s="27" t="str">
        <f aca="false">IF(OR(I5="",AUM!B5=""),"",I5-AUM!B5)</f>
        <v/>
      </c>
      <c r="K5" s="28" t="str">
        <f aca="false">IF(I5="","",B5/I5)</f>
        <v/>
      </c>
      <c r="L5" s="28" t="str">
        <f aca="false">IF(I5="","",C5/I5)</f>
        <v/>
      </c>
      <c r="M5" s="28" t="str">
        <f aca="false">IF(I5="","",(D5+E5)/I5)</f>
        <v/>
      </c>
      <c r="N5" s="28" t="str">
        <f aca="false">IF(I5="","",F5/I5)</f>
        <v/>
      </c>
      <c r="O5" s="28" t="str">
        <f aca="false">IF(I5="","",G5/I5)</f>
        <v/>
      </c>
      <c r="P5" s="25" t="s">
        <v>339</v>
      </c>
    </row>
    <row r="6" customFormat="false" ht="15" hidden="false" customHeight="false" outlineLevel="0" collapsed="false">
      <c r="A6" s="8" t="s">
        <v>74</v>
      </c>
      <c r="B6" s="21" t="n">
        <v>48169.6</v>
      </c>
      <c r="C6" s="21" t="n">
        <v>6312.17</v>
      </c>
      <c r="D6" s="21" t="n">
        <v>1360.49</v>
      </c>
      <c r="E6" s="21" t="n">
        <v>550.32</v>
      </c>
      <c r="F6" s="21" t="n">
        <v>1437.27</v>
      </c>
      <c r="G6" s="21" t="n">
        <v>0</v>
      </c>
      <c r="H6" s="21" t="n">
        <v>2.67</v>
      </c>
      <c r="I6" s="27" t="n">
        <f aca="false">IF(COUNT(B6:H6)&lt;7,"",SUM(B6:H6))</f>
        <v>57832.52</v>
      </c>
      <c r="J6" s="27" t="n">
        <f aca="false">IF(OR(I6="",AUM!B6=""),"",I6-AUM!B6)</f>
        <v>-0.0100000000020373</v>
      </c>
      <c r="K6" s="28" t="n">
        <f aca="false">IF(I6="","",B6/I6)</f>
        <v>0.832915460021455</v>
      </c>
      <c r="L6" s="28" t="n">
        <f aca="false">IF(I6="","",C6/I6)</f>
        <v>0.109145684815395</v>
      </c>
      <c r="M6" s="28" t="n">
        <f aca="false">IF(I6="","",(D6+E6)/I6)</f>
        <v>0.0330404070235916</v>
      </c>
      <c r="N6" s="28" t="n">
        <f aca="false">IF(I6="","",F6/I6)</f>
        <v>0.0248522803433086</v>
      </c>
      <c r="O6" s="28" t="n">
        <f aca="false">IF(I6="","",G6/I6)</f>
        <v>0</v>
      </c>
      <c r="P6" s="25" t="s">
        <v>340</v>
      </c>
    </row>
    <row r="7" customFormat="false" ht="15" hidden="false" customHeight="false" outlineLevel="0" collapsed="false">
      <c r="A7" s="8" t="s">
        <v>75</v>
      </c>
      <c r="B7" s="21" t="n">
        <v>58741.47</v>
      </c>
      <c r="C7" s="21" t="n">
        <v>8048.75</v>
      </c>
      <c r="D7" s="21" t="n">
        <v>1880.53</v>
      </c>
      <c r="E7" s="21" t="n">
        <v>615.35</v>
      </c>
      <c r="F7" s="21" t="n">
        <v>1874.31</v>
      </c>
      <c r="G7" s="21" t="n">
        <v>0</v>
      </c>
      <c r="H7" s="21" t="n">
        <v>1.12</v>
      </c>
      <c r="I7" s="27" t="n">
        <f aca="false">IF(COUNT(B7:H7)&lt;7,"",SUM(B7:H7))</f>
        <v>71161.53</v>
      </c>
      <c r="J7" s="27" t="n">
        <f aca="false">IF(OR(I7="",AUM!B7=""),"",I7-AUM!B7)</f>
        <v>0</v>
      </c>
      <c r="K7" s="28" t="n">
        <f aca="false">IF(I7="","",B7/I7)</f>
        <v>0.825466653120021</v>
      </c>
      <c r="L7" s="28" t="n">
        <f aca="false">IF(I7="","",C7/I7)</f>
        <v>0.11310535341216</v>
      </c>
      <c r="M7" s="28" t="n">
        <f aca="false">IF(I7="","",(D7+E7)/I7)</f>
        <v>0.0350734448795578</v>
      </c>
      <c r="N7" s="28" t="n">
        <f aca="false">IF(I7="","",F7/I7)</f>
        <v>0.0263388097473452</v>
      </c>
      <c r="O7" s="28" t="n">
        <f aca="false">IF(I7="","",G7/I7)</f>
        <v>0</v>
      </c>
      <c r="P7" s="25" t="s">
        <v>341</v>
      </c>
    </row>
    <row r="8" customFormat="false" ht="15" hidden="false" customHeight="false" outlineLevel="0" collapsed="false">
      <c r="A8" s="8" t="s">
        <v>76</v>
      </c>
      <c r="B8" s="21" t="n">
        <v>64439.78</v>
      </c>
      <c r="C8" s="21" t="n">
        <v>8443.89</v>
      </c>
      <c r="D8" s="21" t="n">
        <v>1864.41</v>
      </c>
      <c r="E8" s="21" t="n">
        <v>531.66</v>
      </c>
      <c r="F8" s="21" t="n">
        <v>1239.35</v>
      </c>
      <c r="G8" s="21" t="n">
        <v>0</v>
      </c>
      <c r="H8" s="21" t="n">
        <v>1.23</v>
      </c>
      <c r="I8" s="27" t="n">
        <f aca="false">IF(COUNT(B8:H8)&lt;7,"",SUM(B8:H8))</f>
        <v>76520.32</v>
      </c>
      <c r="J8" s="27" t="n">
        <f aca="false">IF(OR(I8="",AUM!B8=""),"",I8-AUM!B8)</f>
        <v>-0.0100000000093132</v>
      </c>
      <c r="K8" s="28" t="n">
        <f aca="false">IF(I8="","",B8/I8)</f>
        <v>0.842126378980119</v>
      </c>
      <c r="L8" s="28" t="n">
        <f aca="false">IF(I8="","",C8/I8)</f>
        <v>0.110348336232781</v>
      </c>
      <c r="M8" s="28" t="n">
        <f aca="false">IF(I8="","",(D8+E8)/I8)</f>
        <v>0.0313128591202964</v>
      </c>
      <c r="N8" s="28" t="n">
        <f aca="false">IF(I8="","",F8/I8)</f>
        <v>0.0161963515050643</v>
      </c>
      <c r="O8" s="28" t="n">
        <f aca="false">IF(I8="","",G8/I8)</f>
        <v>0</v>
      </c>
      <c r="P8" s="25" t="s">
        <v>342</v>
      </c>
    </row>
    <row r="9" customFormat="false" ht="15" hidden="false" customHeight="false" outlineLevel="0" collapsed="false">
      <c r="A9" s="8" t="s">
        <v>77</v>
      </c>
      <c r="B9" s="21" t="n">
        <v>61638.86</v>
      </c>
      <c r="C9" s="21" t="n">
        <v>7646.71</v>
      </c>
      <c r="D9" s="21" t="n">
        <v>1014.73</v>
      </c>
      <c r="E9" s="21" t="n">
        <v>743.1</v>
      </c>
      <c r="F9" s="21" t="n">
        <v>1194.98</v>
      </c>
      <c r="G9" s="21" t="n">
        <v>0</v>
      </c>
      <c r="H9" s="21" t="n">
        <v>1.19</v>
      </c>
      <c r="I9" s="27" t="n">
        <f aca="false">IF(COUNT(B9:H9)&lt;7,"",SUM(B9:H9))</f>
        <v>72239.57</v>
      </c>
      <c r="J9" s="27" t="n">
        <f aca="false">IF(OR(I9="",AUM!B9=""),"",I9-AUM!B9)</f>
        <v>0</v>
      </c>
      <c r="K9" s="28" t="n">
        <f aca="false">IF(I9="","",B9/I9)</f>
        <v>0.853256186325583</v>
      </c>
      <c r="L9" s="28" t="n">
        <f aca="false">IF(I9="","",C9/I9)</f>
        <v>0.105852097403127</v>
      </c>
      <c r="M9" s="28" t="n">
        <f aca="false">IF(I9="","",(D9+E9)/I9)</f>
        <v>0.0243333397471773</v>
      </c>
      <c r="N9" s="28" t="n">
        <f aca="false">IF(I9="","",F9/I9)</f>
        <v>0.0165419035578423</v>
      </c>
      <c r="O9" s="28" t="n">
        <f aca="false">IF(I9="","",G9/I9)</f>
        <v>0</v>
      </c>
      <c r="P9" s="25" t="s">
        <v>343</v>
      </c>
    </row>
    <row r="10" customFormat="false" ht="15" hidden="false" customHeight="false" outlineLevel="0" collapsed="false">
      <c r="A10" s="8" t="s">
        <v>78</v>
      </c>
      <c r="B10" s="21" t="n">
        <v>61066.67</v>
      </c>
      <c r="C10" s="21" t="n">
        <v>7603.45</v>
      </c>
      <c r="D10" s="21" t="n">
        <v>1196.15</v>
      </c>
      <c r="E10" s="21" t="n">
        <v>944.33</v>
      </c>
      <c r="F10" s="21" t="n">
        <v>1807.42</v>
      </c>
      <c r="G10" s="21" t="n">
        <v>122.88</v>
      </c>
      <c r="H10" s="21" t="n">
        <v>0.17</v>
      </c>
      <c r="I10" s="27" t="n">
        <f aca="false">IF(COUNT(B10:H10)&lt;7,"",SUM(B10:H10))</f>
        <v>72741.07</v>
      </c>
      <c r="J10" s="27" t="n">
        <f aca="false">IF(OR(I10="",AUM!B10=""),"",I10-AUM!B10)</f>
        <v>0</v>
      </c>
      <c r="K10" s="28" t="n">
        <f aca="false">IF(I10="","",B10/I10)</f>
        <v>0.839507447443377</v>
      </c>
      <c r="L10" s="28" t="n">
        <f aca="false">IF(I10="","",C10/I10)</f>
        <v>0.104527607306299</v>
      </c>
      <c r="M10" s="28" t="n">
        <f aca="false">IF(I10="","",(D10+E10)/I10)</f>
        <v>0.0294260175166519</v>
      </c>
      <c r="N10" s="28" t="n">
        <f aca="false">IF(I10="","",F10/I10)</f>
        <v>0.0248473111544826</v>
      </c>
      <c r="O10" s="28" t="n">
        <f aca="false">IF(I10="","",G10/I10)</f>
        <v>0.00168927952255858</v>
      </c>
      <c r="P10" s="25" t="s">
        <v>344</v>
      </c>
    </row>
    <row r="11" customFormat="false" ht="15" hidden="false" customHeight="false" outlineLevel="0" collapsed="false">
      <c r="A11" s="8" t="s">
        <v>79</v>
      </c>
      <c r="B11" s="21" t="n">
        <v>75687.27</v>
      </c>
      <c r="C11" s="21" t="n">
        <v>7199.93</v>
      </c>
      <c r="D11" s="21" t="n">
        <v>3481.07</v>
      </c>
      <c r="E11" s="21" t="n">
        <v>975.61</v>
      </c>
      <c r="F11" s="21" t="n">
        <v>2540.42</v>
      </c>
      <c r="G11" s="21" t="n">
        <v>220.95</v>
      </c>
      <c r="H11" s="21" t="n">
        <v>0.11</v>
      </c>
      <c r="I11" s="27" t="n">
        <f aca="false">IF(COUNT(B11:H11)&lt;7,"",SUM(B11:H11))</f>
        <v>90105.36</v>
      </c>
      <c r="J11" s="27" t="n">
        <f aca="false">IF(OR(I11="",AUM!B11=""),"",I11-AUM!B11)</f>
        <v>0</v>
      </c>
      <c r="K11" s="28" t="n">
        <f aca="false">IF(I11="","",B11/I11)</f>
        <v>0.839986322678251</v>
      </c>
      <c r="L11" s="28" t="n">
        <f aca="false">IF(I11="","",C11/I11)</f>
        <v>0.0799056793069802</v>
      </c>
      <c r="M11" s="28" t="n">
        <f aca="false">IF(I11="","",(D11+E11)/I11)</f>
        <v>0.0494607645982437</v>
      </c>
      <c r="N11" s="28" t="n">
        <f aca="false">IF(I11="","",F11/I11)</f>
        <v>0.0281938832495647</v>
      </c>
      <c r="O11" s="28" t="n">
        <f aca="false">IF(I11="","",G11/I11)</f>
        <v>0.00245212937387964</v>
      </c>
      <c r="P11" s="25" t="s">
        <v>345</v>
      </c>
    </row>
    <row r="12" customFormat="false" ht="15" hidden="false" customHeight="false" outlineLevel="0" collapsed="false">
      <c r="A12" s="8" t="s">
        <v>80</v>
      </c>
      <c r="B12" s="21" t="n">
        <v>94410.63</v>
      </c>
      <c r="C12" s="21" t="n">
        <v>7209.08</v>
      </c>
      <c r="D12" s="21" t="n">
        <v>3757.67</v>
      </c>
      <c r="E12" s="21" t="n">
        <v>1054.74</v>
      </c>
      <c r="F12" s="21" t="n">
        <v>2879.1</v>
      </c>
      <c r="G12" s="21" t="n">
        <v>714.52</v>
      </c>
      <c r="H12" s="21" t="n">
        <v>0.08</v>
      </c>
      <c r="I12" s="27" t="n">
        <f aca="false">IF(COUNT(B12:H12)&lt;7,"",SUM(B12:H12))</f>
        <v>110025.82</v>
      </c>
      <c r="J12" s="27" t="n">
        <f aca="false">IF(OR(I12="",AUM!B12=""),"",I12-AUM!B12)</f>
        <v>0</v>
      </c>
      <c r="K12" s="28" t="n">
        <f aca="false">IF(I12="","",B12/I12)</f>
        <v>0.858077040461957</v>
      </c>
      <c r="L12" s="28" t="n">
        <f aca="false">IF(I12="","",C12/I12)</f>
        <v>0.065521711176522</v>
      </c>
      <c r="M12" s="28" t="n">
        <f aca="false">IF(I12="","",(D12+E12)/I12)</f>
        <v>0.0437389151019279</v>
      </c>
      <c r="N12" s="28" t="n">
        <f aca="false">IF(I12="","",F12/I12)</f>
        <v>0.026167494139103</v>
      </c>
      <c r="O12" s="28" t="n">
        <f aca="false">IF(I12="","",G12/I12)</f>
        <v>0.00649411201843349</v>
      </c>
      <c r="P12" s="25" t="s">
        <v>346</v>
      </c>
    </row>
    <row r="13" customFormat="false" ht="15" hidden="false" customHeight="false" outlineLevel="0" collapsed="false">
      <c r="A13" s="8" t="s">
        <v>81</v>
      </c>
      <c r="B13" s="22"/>
      <c r="C13" s="22"/>
      <c r="D13" s="22"/>
      <c r="E13" s="22"/>
      <c r="F13" s="22"/>
      <c r="G13" s="22"/>
      <c r="H13" s="22"/>
      <c r="I13" s="27" t="str">
        <f aca="false">IF(COUNT(B13:H13)&lt;7,"",SUM(B13:H13))</f>
        <v/>
      </c>
      <c r="J13" s="27" t="str">
        <f aca="false">IF(OR(I13="",AUM!B13=""),"",I13-AUM!B13)</f>
        <v/>
      </c>
      <c r="K13" s="28" t="str">
        <f aca="false">IF(I13="","",B13/I13)</f>
        <v/>
      </c>
      <c r="L13" s="28" t="str">
        <f aca="false">IF(I13="","",C13/I13)</f>
        <v/>
      </c>
      <c r="M13" s="28" t="str">
        <f aca="false">IF(I13="","",(D13+E13)/I13)</f>
        <v/>
      </c>
      <c r="N13" s="28" t="str">
        <f aca="false">IF(I13="","",F13/I13)</f>
        <v/>
      </c>
      <c r="O13" s="28" t="str">
        <f aca="false">IF(I13="","",G13/I13)</f>
        <v/>
      </c>
      <c r="P13" s="25" t="s">
        <v>323</v>
      </c>
    </row>
    <row r="14" customFormat="false" ht="15" hidden="false" customHeight="false" outlineLevel="0" collapsed="false">
      <c r="A14" s="8" t="s">
        <v>82</v>
      </c>
      <c r="B14" s="22"/>
      <c r="C14" s="22"/>
      <c r="D14" s="22"/>
      <c r="E14" s="22"/>
      <c r="F14" s="22"/>
      <c r="G14" s="22"/>
      <c r="H14" s="22"/>
      <c r="I14" s="27" t="str">
        <f aca="false">IF(COUNT(B14:H14)&lt;7,"",SUM(B14:H14))</f>
        <v/>
      </c>
      <c r="J14" s="27" t="str">
        <f aca="false">IF(OR(I14="",AUM!B14=""),"",I14-AUM!B14)</f>
        <v/>
      </c>
      <c r="K14" s="28" t="str">
        <f aca="false">IF(I14="","",B14/I14)</f>
        <v/>
      </c>
      <c r="L14" s="28" t="str">
        <f aca="false">IF(I14="","",C14/I14)</f>
        <v/>
      </c>
      <c r="M14" s="28" t="str">
        <f aca="false">IF(I14="","",(D14+E14)/I14)</f>
        <v/>
      </c>
      <c r="N14" s="28" t="str">
        <f aca="false">IF(I14="","",F14/I14)</f>
        <v/>
      </c>
      <c r="O14" s="28" t="str">
        <f aca="false">IF(I14="","",G14/I14)</f>
        <v/>
      </c>
      <c r="P14" s="25" t="s">
        <v>324</v>
      </c>
    </row>
    <row r="16" customFormat="false" ht="15" hidden="false" customHeight="false" outlineLevel="0" collapsed="false">
      <c r="A16" s="6" t="s">
        <v>347</v>
      </c>
    </row>
    <row r="17" customFormat="false" ht="15" hidden="false" customHeight="false" outlineLevel="0" collapsed="false">
      <c r="A17" s="6" t="s">
        <v>348</v>
      </c>
    </row>
    <row r="20" customFormat="false" ht="15" hidden="false" customHeight="false" outlineLevel="0" collapsed="false">
      <c r="A20" s="2" t="s">
        <v>349</v>
      </c>
    </row>
    <row r="21" customFormat="false" ht="23.85" hidden="false" customHeight="false" outlineLevel="0" collapsed="false">
      <c r="A21" s="7" t="s">
        <v>350</v>
      </c>
      <c r="B21" s="7" t="s">
        <v>351</v>
      </c>
      <c r="C21" s="7" t="s">
        <v>352</v>
      </c>
      <c r="D21" s="7" t="s">
        <v>353</v>
      </c>
    </row>
    <row r="22" customFormat="false" ht="82.05" hidden="false" customHeight="false" outlineLevel="0" collapsed="false">
      <c r="A22" s="18" t="s">
        <v>329</v>
      </c>
      <c r="B22" s="18" t="s">
        <v>354</v>
      </c>
      <c r="C22" s="18" t="s">
        <v>355</v>
      </c>
      <c r="D22" s="18" t="s">
        <v>356</v>
      </c>
    </row>
    <row r="23" customFormat="false" ht="68.65" hidden="false" customHeight="false" outlineLevel="0" collapsed="false">
      <c r="A23" s="18" t="s">
        <v>330</v>
      </c>
      <c r="B23" s="18" t="s">
        <v>357</v>
      </c>
      <c r="C23" s="18" t="s">
        <v>358</v>
      </c>
      <c r="D23" s="18" t="s">
        <v>359</v>
      </c>
    </row>
    <row r="24" customFormat="false" ht="55.2" hidden="false" customHeight="false" outlineLevel="0" collapsed="false">
      <c r="A24" s="18" t="s">
        <v>360</v>
      </c>
      <c r="B24" s="18" t="s">
        <v>361</v>
      </c>
      <c r="C24" s="18" t="s">
        <v>358</v>
      </c>
      <c r="D24" s="18" t="s">
        <v>362</v>
      </c>
    </row>
    <row r="25" customFormat="false" ht="55.2" hidden="false" customHeight="false" outlineLevel="0" collapsed="false">
      <c r="A25" s="18" t="s">
        <v>333</v>
      </c>
      <c r="B25" s="18" t="s">
        <v>363</v>
      </c>
      <c r="C25" s="18" t="s">
        <v>364</v>
      </c>
      <c r="D25" s="18" t="s">
        <v>365</v>
      </c>
    </row>
    <row r="26" customFormat="false" ht="15" hidden="false" customHeight="false" outlineLevel="0" collapsed="false">
      <c r="A26" s="18" t="s">
        <v>334</v>
      </c>
      <c r="B26" s="18" t="s">
        <v>366</v>
      </c>
      <c r="C26" s="18" t="s">
        <v>367</v>
      </c>
      <c r="D26" s="18" t="s">
        <v>368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8" min="2" style="0" width="15"/>
    <col collapsed="false" customWidth="true" hidden="false" outlineLevel="0" max="9" min="9" style="0" width="44"/>
  </cols>
  <sheetData>
    <row r="1" customFormat="false" ht="17.35" hidden="false" customHeight="false" outlineLevel="0" collapsed="false">
      <c r="A1" s="1" t="s">
        <v>369</v>
      </c>
    </row>
    <row r="2" customFormat="false" ht="15" hidden="false" customHeight="false" outlineLevel="0" collapsed="false">
      <c r="A2" s="6" t="s">
        <v>370</v>
      </c>
    </row>
    <row r="4" customFormat="false" ht="49.5" hidden="false" customHeight="true" outlineLevel="0" collapsed="false">
      <c r="A4" s="7" t="s">
        <v>44</v>
      </c>
      <c r="B4" s="7" t="s">
        <v>371</v>
      </c>
      <c r="C4" s="7" t="s">
        <v>372</v>
      </c>
      <c r="D4" s="20" t="s">
        <v>150</v>
      </c>
      <c r="E4" s="20" t="s">
        <v>155</v>
      </c>
      <c r="F4" s="20" t="s">
        <v>160</v>
      </c>
      <c r="G4" s="20" t="s">
        <v>165</v>
      </c>
      <c r="H4" s="20" t="s">
        <v>170</v>
      </c>
      <c r="I4" s="7" t="s">
        <v>314</v>
      </c>
    </row>
    <row r="5" customFormat="false" ht="15" hidden="false" customHeight="false" outlineLevel="0" collapsed="false">
      <c r="A5" s="8" t="s">
        <v>72</v>
      </c>
      <c r="B5" s="21" t="n">
        <v>3996.74</v>
      </c>
      <c r="C5" s="21" t="n">
        <v>2059.36</v>
      </c>
      <c r="D5" s="27" t="n">
        <f aca="false">IF(OR(B5="",C5=""),"",B5-C5)</f>
        <v>1937.38</v>
      </c>
      <c r="E5" s="26" t="n">
        <f aca="false">IF(OR(B5="",AUM!B5=""),"",B5/AUM!B5)</f>
        <v>0.083275010641851</v>
      </c>
      <c r="F5" s="26" t="n">
        <f aca="false">IF(OR(D5="",AUM!B5=""),"",D5/(AUM!B5-C5))</f>
        <v>0.0421764528266069</v>
      </c>
      <c r="G5" s="28" t="n">
        <f aca="false">IF(OR(B5="",C5=""),"",C5/B5)</f>
        <v>0.515259936848532</v>
      </c>
      <c r="H5" s="29"/>
      <c r="I5" s="25" t="s">
        <v>373</v>
      </c>
    </row>
    <row r="6" customFormat="false" ht="15" hidden="false" customHeight="false" outlineLevel="0" collapsed="false">
      <c r="A6" s="8" t="s">
        <v>74</v>
      </c>
      <c r="B6" s="10" t="n">
        <f aca="false">Stage_ECL!D6</f>
        <v>5886.68</v>
      </c>
      <c r="C6" s="10" t="n">
        <f aca="false">Stage_ECL!G6</f>
        <v>1849.87</v>
      </c>
      <c r="D6" s="27" t="n">
        <f aca="false">IF(OR(B6="",C6=""),"",B6-C6)</f>
        <v>4036.81</v>
      </c>
      <c r="E6" s="26" t="n">
        <f aca="false">IF(OR(B6="",AUM!B6=""),"",B6/AUM!B6)</f>
        <v>0.101788387953977</v>
      </c>
      <c r="F6" s="26" t="n">
        <f aca="false">IF(OR(D6="",AUM!B6=""),"",D6/(AUM!B6-C6))</f>
        <v>0.0721082206526092</v>
      </c>
      <c r="G6" s="28" t="n">
        <f aca="false">IF(OR(B6="",C6=""),"",C6/B6)</f>
        <v>0.314246740097984</v>
      </c>
      <c r="H6" s="30" t="n">
        <f aca="false">IF(OR(E6="",E5=""),"",E6-E5)</f>
        <v>0.0185133773121258</v>
      </c>
      <c r="I6" s="25" t="s">
        <v>374</v>
      </c>
    </row>
    <row r="7" customFormat="false" ht="15" hidden="false" customHeight="false" outlineLevel="0" collapsed="false">
      <c r="A7" s="8" t="s">
        <v>75</v>
      </c>
      <c r="B7" s="10" t="n">
        <f aca="false">Stage_ECL!D7</f>
        <v>5118.36</v>
      </c>
      <c r="C7" s="10" t="n">
        <f aca="false">Stage_ECL!G7</f>
        <v>971.84</v>
      </c>
      <c r="D7" s="27" t="n">
        <f aca="false">IF(OR(B7="",C7=""),"",B7-C7)</f>
        <v>4146.52</v>
      </c>
      <c r="E7" s="26" t="n">
        <f aca="false">IF(OR(B7="",AUM!B7=""),"",B7/AUM!B7)</f>
        <v>0.0719259408840704</v>
      </c>
      <c r="F7" s="26" t="n">
        <f aca="false">IF(OR(D7="",AUM!B7=""),"",D7/(AUM!B7-C7))</f>
        <v>0.0590759127159559</v>
      </c>
      <c r="G7" s="28" t="n">
        <f aca="false">IF(OR(B7="",C7=""),"",C7/B7)</f>
        <v>0.189873318797427</v>
      </c>
      <c r="H7" s="30" t="n">
        <f aca="false">IF(OR(E7="",E6=""),"",E7-E6)</f>
        <v>-0.0298624470699064</v>
      </c>
      <c r="I7" s="25" t="s">
        <v>375</v>
      </c>
    </row>
    <row r="8" customFormat="false" ht="15" hidden="false" customHeight="false" outlineLevel="0" collapsed="false">
      <c r="A8" s="8" t="s">
        <v>76</v>
      </c>
      <c r="B8" s="10" t="n">
        <f aca="false">Stage_ECL!D8</f>
        <v>7018.71</v>
      </c>
      <c r="C8" s="10" t="n">
        <f aca="false">Stage_ECL!G8</f>
        <v>2189.54</v>
      </c>
      <c r="D8" s="27" t="n">
        <f aca="false">IF(OR(B8="",C8=""),"",B8-C8)</f>
        <v>4829.17</v>
      </c>
      <c r="E8" s="26" t="n">
        <f aca="false">IF(OR(B8="",AUM!B8=""),"",B8/AUM!B8)</f>
        <v>0.0917234674758982</v>
      </c>
      <c r="F8" s="26" t="n">
        <f aca="false">IF(OR(D8="",AUM!B8=""),"",D8/(AUM!B8-C8))</f>
        <v>0.0649686354739402</v>
      </c>
      <c r="G8" s="28" t="n">
        <f aca="false">IF(OR(B8="",C8=""),"",C8/B8)</f>
        <v>0.311957610444084</v>
      </c>
      <c r="H8" s="30" t="n">
        <f aca="false">IF(OR(E8="",E7=""),"",E8-E7)</f>
        <v>0.0197975265918279</v>
      </c>
      <c r="I8" s="25" t="s">
        <v>376</v>
      </c>
    </row>
    <row r="9" customFormat="false" ht="15" hidden="false" customHeight="false" outlineLevel="0" collapsed="false">
      <c r="A9" s="8" t="s">
        <v>77</v>
      </c>
      <c r="B9" s="10" t="n">
        <f aca="false">Stage_ECL!D9</f>
        <v>6784.1</v>
      </c>
      <c r="C9" s="10" t="n">
        <f aca="false">Stage_ECL!G9</f>
        <v>3623.25</v>
      </c>
      <c r="D9" s="27" t="n">
        <f aca="false">IF(OR(B9="",C9=""),"",B9-C9)</f>
        <v>3160.85</v>
      </c>
      <c r="E9" s="26" t="n">
        <f aca="false">IF(OR(B9="",AUM!B9=""),"",B9/AUM!B9)</f>
        <v>0.0939111348531006</v>
      </c>
      <c r="F9" s="26" t="n">
        <f aca="false">IF(OR(D9="",AUM!B9=""),"",D9/(AUM!B9-C9))</f>
        <v>0.0460655715724772</v>
      </c>
      <c r="G9" s="28" t="n">
        <f aca="false">IF(OR(B9="",C9=""),"",C9/B9)</f>
        <v>0.534079686325378</v>
      </c>
      <c r="H9" s="30" t="n">
        <f aca="false">IF(OR(E9="",E8=""),"",E9-E8)</f>
        <v>0.00218766737720234</v>
      </c>
      <c r="I9" s="25" t="s">
        <v>377</v>
      </c>
    </row>
    <row r="10" customFormat="false" ht="15" hidden="false" customHeight="false" outlineLevel="0" collapsed="false">
      <c r="A10" s="8" t="s">
        <v>78</v>
      </c>
      <c r="B10" s="10" t="n">
        <f aca="false">Stage_ECL!D10</f>
        <v>5849.28</v>
      </c>
      <c r="C10" s="10" t="n">
        <f aca="false">Stage_ECL!G10</f>
        <v>3121.02</v>
      </c>
      <c r="D10" s="27" t="n">
        <f aca="false">IF(OR(B10="",C10=""),"",B10-C10)</f>
        <v>2728.26</v>
      </c>
      <c r="E10" s="26" t="n">
        <f aca="false">IF(OR(B10="",AUM!B10=""),"",B10/AUM!B10)</f>
        <v>0.0804123447730422</v>
      </c>
      <c r="F10" s="26" t="n">
        <f aca="false">IF(OR(D10="",AUM!B10=""),"",D10/(AUM!B10-C10))</f>
        <v>0.0391878489027227</v>
      </c>
      <c r="G10" s="28" t="n">
        <f aca="false">IF(OR(B10="",C10=""),"",C10/B10)</f>
        <v>0.533573362875431</v>
      </c>
      <c r="H10" s="30" t="n">
        <f aca="false">IF(OR(E10="",E9=""),"",E10-E9)</f>
        <v>-0.0134987900800583</v>
      </c>
      <c r="I10" s="25" t="s">
        <v>378</v>
      </c>
    </row>
    <row r="11" customFormat="false" ht="15" hidden="false" customHeight="false" outlineLevel="0" collapsed="false">
      <c r="A11" s="8" t="s">
        <v>79</v>
      </c>
      <c r="B11" s="10" t="n">
        <f aca="false">Stage_ECL!D11</f>
        <v>4502.01</v>
      </c>
      <c r="C11" s="10" t="n">
        <f aca="false">Stage_ECL!G11</f>
        <v>2408.04</v>
      </c>
      <c r="D11" s="27" t="n">
        <f aca="false">IF(OR(B11="",C11=""),"",B11-C11)</f>
        <v>2093.97</v>
      </c>
      <c r="E11" s="26" t="n">
        <f aca="false">IF(OR(B11="",AUM!B11=""),"",B11/AUM!B11)</f>
        <v>0.0499638423285807</v>
      </c>
      <c r="F11" s="26" t="n">
        <f aca="false">IF(OR(D11="",AUM!B11=""),"",D11/(AUM!B11-C11))</f>
        <v>0.0238772404903593</v>
      </c>
      <c r="G11" s="28" t="n">
        <f aca="false">IF(OR(B11="",C11=""),"",C11/B11)</f>
        <v>0.534881086448053</v>
      </c>
      <c r="H11" s="30" t="n">
        <f aca="false">IF(OR(E11="",E10=""),"",E11-E10)</f>
        <v>-0.0304485024444616</v>
      </c>
      <c r="I11" s="25" t="s">
        <v>379</v>
      </c>
    </row>
    <row r="12" customFormat="false" ht="15" hidden="false" customHeight="false" outlineLevel="0" collapsed="false">
      <c r="A12" s="8" t="s">
        <v>80</v>
      </c>
      <c r="B12" s="10" t="n">
        <f aca="false">Stage_ECL!D12</f>
        <v>4154.2</v>
      </c>
      <c r="C12" s="10" t="n">
        <f aca="false">Stage_ECL!G12</f>
        <v>2425.67</v>
      </c>
      <c r="D12" s="27" t="n">
        <f aca="false">IF(OR(B12="",C12=""),"",B12-C12)</f>
        <v>1728.53</v>
      </c>
      <c r="E12" s="26" t="n">
        <f aca="false">IF(OR(B12="",AUM!B12=""),"",B12/AUM!B12)</f>
        <v>0.0377565920435767</v>
      </c>
      <c r="F12" s="26" t="n">
        <f aca="false">IF(OR(D12="",AUM!B12=""),"",D12/(AUM!B12-C12))</f>
        <v>0.0160643828098753</v>
      </c>
      <c r="G12" s="28" t="n">
        <f aca="false">IF(OR(B12="",C12=""),"",C12/B12)</f>
        <v>0.583907852294064</v>
      </c>
      <c r="H12" s="30" t="n">
        <f aca="false">IF(OR(E12="",E11=""),"",E12-E11)</f>
        <v>-0.012207250285004</v>
      </c>
      <c r="I12" s="25" t="s">
        <v>380</v>
      </c>
    </row>
    <row r="13" customFormat="false" ht="15" hidden="false" customHeight="false" outlineLevel="0" collapsed="false">
      <c r="A13" s="8" t="s">
        <v>81</v>
      </c>
      <c r="B13" s="22"/>
      <c r="C13" s="22"/>
      <c r="D13" s="27" t="str">
        <f aca="false">IF(OR(B13="",C13=""),"",B13-C13)</f>
        <v/>
      </c>
      <c r="E13" s="26" t="str">
        <f aca="false">IF(OR(B13="",AUM!B13=""),"",B13/AUM!B13)</f>
        <v/>
      </c>
      <c r="F13" s="26" t="str">
        <f aca="false">IF(OR(D13="",AUM!B13=""),"",D13/(AUM!B13-C13))</f>
        <v/>
      </c>
      <c r="G13" s="28" t="str">
        <f aca="false">IF(OR(B13="",C13=""),"",C13/B13)</f>
        <v/>
      </c>
      <c r="H13" s="30" t="str">
        <f aca="false">IF(OR(E13="",E12=""),"",E13-E12)</f>
        <v/>
      </c>
      <c r="I13" s="25" t="s">
        <v>323</v>
      </c>
    </row>
    <row r="14" customFormat="false" ht="15" hidden="false" customHeight="false" outlineLevel="0" collapsed="false">
      <c r="A14" s="8" t="s">
        <v>82</v>
      </c>
      <c r="B14" s="22"/>
      <c r="C14" s="22"/>
      <c r="D14" s="27" t="str">
        <f aca="false">IF(OR(B14="",C14=""),"",B14-C14)</f>
        <v/>
      </c>
      <c r="E14" s="26" t="str">
        <f aca="false">IF(OR(B14="",AUM!B14=""),"",B14/AUM!B14)</f>
        <v/>
      </c>
      <c r="F14" s="26" t="str">
        <f aca="false">IF(OR(D14="",AUM!B14=""),"",D14/(AUM!B14-C14))</f>
        <v/>
      </c>
      <c r="G14" s="28" t="str">
        <f aca="false">IF(OR(B14="",C14=""),"",C14/B14)</f>
        <v/>
      </c>
      <c r="H14" s="30" t="str">
        <f aca="false">IF(OR(E14="",E13=""),"",E14-E13)</f>
        <v/>
      </c>
      <c r="I14" s="25" t="s">
        <v>324</v>
      </c>
    </row>
    <row r="16" customFormat="false" ht="15" hidden="false" customHeight="false" outlineLevel="0" collapsed="false">
      <c r="A16" s="6" t="s">
        <v>381</v>
      </c>
    </row>
    <row r="17" customFormat="false" ht="15" hidden="false" customHeight="false" outlineLevel="0" collapsed="false">
      <c r="A17" s="6" t="s">
        <v>382</v>
      </c>
    </row>
    <row r="18" customFormat="false" ht="15" hidden="false" customHeight="false" outlineLevel="0" collapsed="false">
      <c r="A18" s="6" t="s">
        <v>383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17" min="2" style="0" width="15"/>
    <col collapsed="false" customWidth="true" hidden="false" outlineLevel="0" max="18" min="18" style="0" width="44"/>
  </cols>
  <sheetData>
    <row r="1" customFormat="false" ht="17.35" hidden="false" customHeight="false" outlineLevel="0" collapsed="false">
      <c r="A1" s="1" t="s">
        <v>384</v>
      </c>
    </row>
    <row r="2" customFormat="false" ht="15" hidden="false" customHeight="false" outlineLevel="0" collapsed="false">
      <c r="A2" s="6" t="s">
        <v>385</v>
      </c>
    </row>
    <row r="4" customFormat="false" ht="49.5" hidden="false" customHeight="true" outlineLevel="0" collapsed="false">
      <c r="A4" s="7" t="s">
        <v>44</v>
      </c>
      <c r="B4" s="7" t="s">
        <v>386</v>
      </c>
      <c r="C4" s="7" t="s">
        <v>387</v>
      </c>
      <c r="D4" s="7" t="s">
        <v>388</v>
      </c>
      <c r="E4" s="7" t="s">
        <v>389</v>
      </c>
      <c r="F4" s="7" t="s">
        <v>390</v>
      </c>
      <c r="G4" s="7" t="s">
        <v>391</v>
      </c>
      <c r="H4" s="7" t="s">
        <v>392</v>
      </c>
      <c r="I4" s="20" t="s">
        <v>106</v>
      </c>
      <c r="J4" s="20" t="s">
        <v>111</v>
      </c>
      <c r="K4" s="20" t="s">
        <v>116</v>
      </c>
      <c r="L4" s="20" t="s">
        <v>121</v>
      </c>
      <c r="M4" s="20" t="s">
        <v>126</v>
      </c>
      <c r="N4" s="20" t="s">
        <v>131</v>
      </c>
      <c r="O4" s="20" t="s">
        <v>136</v>
      </c>
      <c r="P4" s="20" t="s">
        <v>141</v>
      </c>
      <c r="Q4" s="20" t="s">
        <v>146</v>
      </c>
      <c r="R4" s="7" t="s">
        <v>314</v>
      </c>
    </row>
    <row r="5" customFormat="false" ht="15" hidden="false" customHeight="false" outlineLevel="0" collapsed="false">
      <c r="A5" s="8" t="s">
        <v>72</v>
      </c>
      <c r="B5" s="31"/>
      <c r="C5" s="31"/>
      <c r="D5" s="31"/>
      <c r="E5" s="31"/>
      <c r="F5" s="31"/>
      <c r="G5" s="31"/>
      <c r="H5" s="31"/>
      <c r="I5" s="27" t="str">
        <f aca="false">IF(COUNT(B5:D5)&lt;3,"",SUM(B5:D5))</f>
        <v/>
      </c>
      <c r="J5" s="27" t="str">
        <f aca="false">IF(COUNT(E5:G5)&lt;3,"",SUM(E5:G5))</f>
        <v/>
      </c>
      <c r="K5" s="26" t="str">
        <f aca="false">IF(OR(I5=""),"",C5/I5)</f>
        <v/>
      </c>
      <c r="L5" s="26" t="str">
        <f aca="false">IF(OR(I5=""),"",D5/I5)</f>
        <v/>
      </c>
      <c r="M5" s="26" t="str">
        <f aca="false">IF(OR(I5="",J5=""),"",(E5+F5)/(B5+C5))</f>
        <v/>
      </c>
      <c r="N5" s="28" t="str">
        <f aca="false">IF(COUNT(D5,G5)&lt;2,"",G5/D5)</f>
        <v/>
      </c>
      <c r="O5" s="26" t="str">
        <f aca="false">IF(OR(I5="",J5=""),"",J5/I5)</f>
        <v/>
      </c>
      <c r="P5" s="27" t="str">
        <f aca="false">IF(OR(I5="",AUM!B5=""),"",AUM!B5-I5)</f>
        <v/>
      </c>
      <c r="Q5" s="27" t="str">
        <f aca="false">IF(COUNT(H5)&lt;1,"",IF(J5="","",H5-J5))</f>
        <v/>
      </c>
      <c r="R5" s="25" t="s">
        <v>393</v>
      </c>
    </row>
    <row r="6" customFormat="false" ht="15" hidden="false" customHeight="false" outlineLevel="0" collapsed="false">
      <c r="A6" s="8" t="s">
        <v>74</v>
      </c>
      <c r="B6" s="21" t="n">
        <v>45715.56</v>
      </c>
      <c r="C6" s="21" t="n">
        <v>6227.63</v>
      </c>
      <c r="D6" s="21" t="n">
        <v>5886.68</v>
      </c>
      <c r="E6" s="21" t="n">
        <v>548.26</v>
      </c>
      <c r="F6" s="21" t="n">
        <v>883.69</v>
      </c>
      <c r="G6" s="21" t="n">
        <v>1849.87</v>
      </c>
      <c r="H6" s="21" t="n">
        <v>3282.8</v>
      </c>
      <c r="I6" s="27" t="n">
        <f aca="false">IF(COUNT(B6:D6)&lt;3,"",SUM(B6:D6))</f>
        <v>57829.87</v>
      </c>
      <c r="J6" s="27" t="n">
        <f aca="false">IF(COUNT(E6:G6)&lt;3,"",SUM(E6:G6))</f>
        <v>3281.82</v>
      </c>
      <c r="K6" s="26" t="n">
        <f aca="false">IF(OR(I6=""),"",C6/I6)</f>
        <v>0.107688812027418</v>
      </c>
      <c r="L6" s="26" t="n">
        <f aca="false">IF(OR(I6=""),"",D6/I6)</f>
        <v>0.101793069913524</v>
      </c>
      <c r="M6" s="26" t="n">
        <f aca="false">IF(OR(I6="",J6=""),"",(E6+F6)/(B6+C6))</f>
        <v>0.0275676176222523</v>
      </c>
      <c r="N6" s="28" t="n">
        <f aca="false">IF(COUNT(D6,G6)&lt;2,"",G6/D6)</f>
        <v>0.314246740097984</v>
      </c>
      <c r="O6" s="26" t="n">
        <f aca="false">IF(OR(I6="",J6=""),"",J6/I6)</f>
        <v>0.0567495655791722</v>
      </c>
      <c r="P6" s="27" t="n">
        <f aca="false">IF(OR(I6="",AUM!B6=""),"",AUM!B6-I6)</f>
        <v>2.66000000000349</v>
      </c>
      <c r="Q6" s="27" t="n">
        <f aca="false">IF(COUNT(H6)&lt;1,"",IF(J6="","",H6-J6))</f>
        <v>0.980000000000473</v>
      </c>
      <c r="R6" s="25" t="s">
        <v>394</v>
      </c>
    </row>
    <row r="7" customFormat="false" ht="15" hidden="false" customHeight="false" outlineLevel="0" collapsed="false">
      <c r="A7" s="8" t="s">
        <v>75</v>
      </c>
      <c r="B7" s="21" t="n">
        <v>59198.6</v>
      </c>
      <c r="C7" s="21" t="n">
        <v>6843.44</v>
      </c>
      <c r="D7" s="21" t="n">
        <v>5118.36</v>
      </c>
      <c r="E7" s="21" t="n">
        <v>569.71</v>
      </c>
      <c r="F7" s="21" t="n">
        <v>679.96</v>
      </c>
      <c r="G7" s="21" t="n">
        <v>971.84</v>
      </c>
      <c r="H7" s="21" t="n">
        <v>2222.53</v>
      </c>
      <c r="I7" s="27" t="n">
        <f aca="false">IF(COUNT(B7:D7)&lt;3,"",SUM(B7:D7))</f>
        <v>71160.4</v>
      </c>
      <c r="J7" s="27" t="n">
        <f aca="false">IF(COUNT(E7:G7)&lt;3,"",SUM(E7:G7))</f>
        <v>2221.51</v>
      </c>
      <c r="K7" s="26" t="n">
        <f aca="false">IF(OR(I7=""),"",C7/I7)</f>
        <v>0.0961692177109741</v>
      </c>
      <c r="L7" s="26" t="n">
        <f aca="false">IF(OR(I7=""),"",D7/I7)</f>
        <v>0.0719270830405675</v>
      </c>
      <c r="M7" s="26" t="n">
        <f aca="false">IF(OR(I7="",J7=""),"",(E7+F7)/(B7+C7))</f>
        <v>0.0189223409815929</v>
      </c>
      <c r="N7" s="28" t="n">
        <f aca="false">IF(COUNT(D7,G7)&lt;2,"",G7/D7)</f>
        <v>0.189873318797427</v>
      </c>
      <c r="O7" s="26" t="n">
        <f aca="false">IF(OR(I7="",J7=""),"",J7/I7)</f>
        <v>0.0312183461588187</v>
      </c>
      <c r="P7" s="27" t="n">
        <f aca="false">IF(OR(I7="",AUM!B7=""),"",AUM!B7-I7)</f>
        <v>1.13000000000466</v>
      </c>
      <c r="Q7" s="27" t="n">
        <f aca="false">IF(COUNT(H7)&lt;1,"",IF(J7="","",H7-J7))</f>
        <v>1.01999999999998</v>
      </c>
      <c r="R7" s="25" t="s">
        <v>395</v>
      </c>
    </row>
    <row r="8" customFormat="false" ht="15" hidden="false" customHeight="false" outlineLevel="0" collapsed="false">
      <c r="A8" s="8" t="s">
        <v>76</v>
      </c>
      <c r="B8" s="21" t="n">
        <v>61400.48</v>
      </c>
      <c r="C8" s="21" t="n">
        <v>8099.91</v>
      </c>
      <c r="D8" s="21" t="n">
        <v>7018.71</v>
      </c>
      <c r="E8" s="21" t="n">
        <v>604.36</v>
      </c>
      <c r="F8" s="21" t="n">
        <v>861.65</v>
      </c>
      <c r="G8" s="21" t="n">
        <v>2189.54</v>
      </c>
      <c r="H8" s="21" t="n">
        <v>3656.54</v>
      </c>
      <c r="I8" s="27" t="n">
        <f aca="false">IF(COUNT(B8:D8)&lt;3,"",SUM(B8:D8))</f>
        <v>76519.1</v>
      </c>
      <c r="J8" s="27" t="n">
        <f aca="false">IF(COUNT(E8:G8)&lt;3,"",SUM(E8:G8))</f>
        <v>3655.55</v>
      </c>
      <c r="K8" s="26" t="n">
        <f aca="false">IF(OR(I8=""),"",C8/I8)</f>
        <v>0.105854747376799</v>
      </c>
      <c r="L8" s="26" t="n">
        <f aca="false">IF(OR(I8=""),"",D8/I8)</f>
        <v>0.0917249418772568</v>
      </c>
      <c r="M8" s="26" t="n">
        <f aca="false">IF(OR(I8="",J8=""),"",(E8+F8)/(B8+C8))</f>
        <v>0.0210935506980608</v>
      </c>
      <c r="N8" s="28" t="n">
        <f aca="false">IF(COUNT(D8,G8)&lt;2,"",G8/D8)</f>
        <v>0.311957610444084</v>
      </c>
      <c r="O8" s="26" t="n">
        <f aca="false">IF(OR(I8="",J8=""),"",J8/I8)</f>
        <v>0.0477730396724478</v>
      </c>
      <c r="P8" s="27" t="n">
        <f aca="false">IF(OR(I8="",AUM!B8=""),"",AUM!B8-I8)</f>
        <v>1.22999999999593</v>
      </c>
      <c r="Q8" s="27" t="n">
        <f aca="false">IF(COUNT(H8)&lt;1,"",IF(J8="","",H8-J8))</f>
        <v>0.989999999999782</v>
      </c>
      <c r="R8" s="25" t="s">
        <v>396</v>
      </c>
    </row>
    <row r="9" customFormat="false" ht="15" hidden="false" customHeight="false" outlineLevel="0" collapsed="false">
      <c r="A9" s="8" t="s">
        <v>77</v>
      </c>
      <c r="B9" s="21" t="n">
        <v>55256.39</v>
      </c>
      <c r="C9" s="21" t="n">
        <v>10197.89</v>
      </c>
      <c r="D9" s="21" t="n">
        <v>6784.1</v>
      </c>
      <c r="E9" s="21" t="n">
        <v>482.01</v>
      </c>
      <c r="F9" s="21" t="n">
        <v>1057.56</v>
      </c>
      <c r="G9" s="21" t="n">
        <v>3623.25</v>
      </c>
      <c r="H9" s="21" t="n">
        <v>5163.85</v>
      </c>
      <c r="I9" s="27" t="n">
        <f aca="false">IF(COUNT(B9:D9)&lt;3,"",SUM(B9:D9))</f>
        <v>72238.38</v>
      </c>
      <c r="J9" s="27" t="n">
        <f aca="false">IF(COUNT(E9:G9)&lt;3,"",SUM(E9:G9))</f>
        <v>5162.82</v>
      </c>
      <c r="K9" s="26" t="n">
        <f aca="false">IF(OR(I9=""),"",C9/I9)</f>
        <v>0.141169970865903</v>
      </c>
      <c r="L9" s="26" t="n">
        <f aca="false">IF(OR(I9=""),"",D9/I9)</f>
        <v>0.0939126818735415</v>
      </c>
      <c r="M9" s="26" t="n">
        <f aca="false">IF(OR(I9="",J9=""),"",(E9+F9)/(B9+C9))</f>
        <v>0.0235213037252873</v>
      </c>
      <c r="N9" s="28" t="n">
        <f aca="false">IF(COUNT(D9,G9)&lt;2,"",G9/D9)</f>
        <v>0.534079686325378</v>
      </c>
      <c r="O9" s="26" t="n">
        <f aca="false">IF(OR(I9="",J9=""),"",J9/I9)</f>
        <v>0.0714692106882796</v>
      </c>
      <c r="P9" s="27" t="n">
        <f aca="false">IF(OR(I9="",AUM!B9=""),"",AUM!B9-I9)</f>
        <v>1.19000000000233</v>
      </c>
      <c r="Q9" s="27" t="n">
        <f aca="false">IF(COUNT(H9)&lt;1,"",IF(J9="","",H9-J9))</f>
        <v>1.03000000000065</v>
      </c>
      <c r="R9" s="25" t="s">
        <v>397</v>
      </c>
    </row>
    <row r="10" customFormat="false" ht="15" hidden="false" customHeight="false" outlineLevel="0" collapsed="false">
      <c r="A10" s="8" t="s">
        <v>78</v>
      </c>
      <c r="B10" s="21" t="n">
        <v>55583.56</v>
      </c>
      <c r="C10" s="21" t="n">
        <v>11308.06</v>
      </c>
      <c r="D10" s="21" t="n">
        <v>5849.28</v>
      </c>
      <c r="E10" s="21" t="n">
        <v>537.19</v>
      </c>
      <c r="F10" s="21" t="n">
        <v>1416.94</v>
      </c>
      <c r="G10" s="21" t="n">
        <v>3121.02</v>
      </c>
      <c r="H10" s="21" t="n">
        <v>5081.38</v>
      </c>
      <c r="I10" s="27" t="n">
        <f aca="false">IF(COUNT(B10:D10)&lt;3,"",SUM(B10:D10))</f>
        <v>72740.9</v>
      </c>
      <c r="J10" s="27" t="n">
        <f aca="false">IF(COUNT(E10:G10)&lt;3,"",SUM(E10:G10))</f>
        <v>5075.15</v>
      </c>
      <c r="K10" s="26" t="n">
        <f aca="false">IF(OR(I10=""),"",C10/I10)</f>
        <v>0.155456696301531</v>
      </c>
      <c r="L10" s="26" t="n">
        <f aca="false">IF(OR(I10=""),"",D10/I10)</f>
        <v>0.080412532701685</v>
      </c>
      <c r="M10" s="26" t="n">
        <f aca="false">IF(OR(I10="",J10=""),"",(E10+F10)/(B10+C10))</f>
        <v>0.0292133753076992</v>
      </c>
      <c r="N10" s="28" t="n">
        <f aca="false">IF(COUNT(D10,G10)&lt;2,"",G10/D10)</f>
        <v>0.533573362875431</v>
      </c>
      <c r="O10" s="26" t="n">
        <f aca="false">IF(OR(I10="",J10=""),"",J10/I10)</f>
        <v>0.0697702393014109</v>
      </c>
      <c r="P10" s="27" t="n">
        <f aca="false">IF(OR(I10="",AUM!B10=""),"",AUM!B10-I10)</f>
        <v>0.170000000012806</v>
      </c>
      <c r="Q10" s="27" t="n">
        <f aca="false">IF(COUNT(H10)&lt;1,"",IF(J10="","",H10-J10))</f>
        <v>6.23000000000047</v>
      </c>
      <c r="R10" s="25" t="s">
        <v>398</v>
      </c>
    </row>
    <row r="11" customFormat="false" ht="15" hidden="false" customHeight="false" outlineLevel="0" collapsed="false">
      <c r="A11" s="8" t="s">
        <v>79</v>
      </c>
      <c r="B11" s="21" t="n">
        <v>79542.2</v>
      </c>
      <c r="C11" s="21" t="n">
        <v>6061.04</v>
      </c>
      <c r="D11" s="21" t="n">
        <v>4502.01</v>
      </c>
      <c r="E11" s="21" t="n">
        <v>590.31</v>
      </c>
      <c r="F11" s="21" t="n">
        <v>619.78</v>
      </c>
      <c r="G11" s="21" t="n">
        <v>2408.04</v>
      </c>
      <c r="H11" s="21" t="n">
        <v>3649.29</v>
      </c>
      <c r="I11" s="27" t="n">
        <f aca="false">IF(COUNT(B11:D11)&lt;3,"",SUM(B11:D11))</f>
        <v>90105.25</v>
      </c>
      <c r="J11" s="27" t="n">
        <f aca="false">IF(COUNT(E11:G11)&lt;3,"",SUM(E11:G11))</f>
        <v>3618.13</v>
      </c>
      <c r="K11" s="26" t="n">
        <f aca="false">IF(OR(I11=""),"",C11/I11)</f>
        <v>0.0672662247760258</v>
      </c>
      <c r="L11" s="26" t="n">
        <f aca="false">IF(OR(I11=""),"",D11/I11)</f>
        <v>0.0499639033241681</v>
      </c>
      <c r="M11" s="26" t="n">
        <f aca="false">IF(OR(I11="",J11=""),"",(E11+F11)/(B11+C11))</f>
        <v>0.0141360303652058</v>
      </c>
      <c r="N11" s="28" t="n">
        <f aca="false">IF(COUNT(D11,G11)&lt;2,"",G11/D11)</f>
        <v>0.534881086448053</v>
      </c>
      <c r="O11" s="26" t="n">
        <f aca="false">IF(OR(I11="",J11=""),"",J11/I11)</f>
        <v>0.0401544860038677</v>
      </c>
      <c r="P11" s="27" t="n">
        <f aca="false">IF(OR(I11="",AUM!B11=""),"",AUM!B11-I11)</f>
        <v>0.110000000015134</v>
      </c>
      <c r="Q11" s="27" t="n">
        <f aca="false">IF(COUNT(H11)&lt;1,"",IF(J11="","",H11-J11))</f>
        <v>31.1599999999999</v>
      </c>
      <c r="R11" s="25" t="s">
        <v>399</v>
      </c>
    </row>
    <row r="12" customFormat="false" ht="15" hidden="false" customHeight="false" outlineLevel="0" collapsed="false">
      <c r="A12" s="8" t="s">
        <v>80</v>
      </c>
      <c r="B12" s="21" t="n">
        <v>100079.92</v>
      </c>
      <c r="C12" s="21" t="n">
        <v>5791.62</v>
      </c>
      <c r="D12" s="21" t="n">
        <v>4154.2</v>
      </c>
      <c r="E12" s="21" t="n">
        <v>647.05</v>
      </c>
      <c r="F12" s="21" t="n">
        <v>639.77</v>
      </c>
      <c r="G12" s="21" t="n">
        <v>2425.67</v>
      </c>
      <c r="H12" s="21" t="n">
        <v>3681.86</v>
      </c>
      <c r="I12" s="27" t="n">
        <f aca="false">IF(COUNT(B12:D12)&lt;3,"",SUM(B12:D12))</f>
        <v>110025.74</v>
      </c>
      <c r="J12" s="27" t="n">
        <f aca="false">IF(COUNT(E12:G12)&lt;3,"",SUM(E12:G12))</f>
        <v>3712.49</v>
      </c>
      <c r="K12" s="26" t="n">
        <f aca="false">IF(OR(I12=""),"",C12/I12)</f>
        <v>0.0526387734361069</v>
      </c>
      <c r="L12" s="26" t="n">
        <f aca="false">IF(OR(I12=""),"",D12/I12)</f>
        <v>0.0377566194964924</v>
      </c>
      <c r="M12" s="26" t="n">
        <f aca="false">IF(OR(I12="",J12=""),"",(E12+F12)/(B12+C12))</f>
        <v>0.0121545412487624</v>
      </c>
      <c r="N12" s="28" t="n">
        <f aca="false">IF(COUNT(D12,G12)&lt;2,"",G12/D12)</f>
        <v>0.583907852294064</v>
      </c>
      <c r="O12" s="26" t="n">
        <f aca="false">IF(OR(I12="",J12=""),"",J12/I12)</f>
        <v>0.0337420134597595</v>
      </c>
      <c r="P12" s="27" t="n">
        <f aca="false">IF(OR(I12="",AUM!B12=""),"",AUM!B12-I12)</f>
        <v>0.0800000000162982</v>
      </c>
      <c r="Q12" s="27" t="n">
        <f aca="false">IF(COUNT(H12)&lt;1,"",IF(J12="","",H12-J12))</f>
        <v>-30.6299999999997</v>
      </c>
      <c r="R12" s="25" t="s">
        <v>400</v>
      </c>
    </row>
    <row r="13" customFormat="false" ht="15" hidden="false" customHeight="false" outlineLevel="0" collapsed="false">
      <c r="A13" s="8" t="s">
        <v>81</v>
      </c>
      <c r="B13" s="22"/>
      <c r="C13" s="22"/>
      <c r="D13" s="22"/>
      <c r="E13" s="22"/>
      <c r="F13" s="22"/>
      <c r="G13" s="22"/>
      <c r="H13" s="22"/>
      <c r="I13" s="27" t="str">
        <f aca="false">IF(COUNT(B13:D13)&lt;3,"",SUM(B13:D13))</f>
        <v/>
      </c>
      <c r="J13" s="27" t="str">
        <f aca="false">IF(COUNT(E13:G13)&lt;3,"",SUM(E13:G13))</f>
        <v/>
      </c>
      <c r="K13" s="26" t="str">
        <f aca="false">IF(OR(I13=""),"",C13/I13)</f>
        <v/>
      </c>
      <c r="L13" s="26" t="str">
        <f aca="false">IF(OR(I13=""),"",D13/I13)</f>
        <v/>
      </c>
      <c r="M13" s="26" t="str">
        <f aca="false">IF(OR(I13="",J13=""),"",(E13+F13)/(B13+C13))</f>
        <v/>
      </c>
      <c r="N13" s="28" t="str">
        <f aca="false">IF(COUNT(D13,G13)&lt;2,"",G13/D13)</f>
        <v/>
      </c>
      <c r="O13" s="26" t="str">
        <f aca="false">IF(OR(I13="",J13=""),"",J13/I13)</f>
        <v/>
      </c>
      <c r="P13" s="27" t="str">
        <f aca="false">IF(OR(I13="",AUM!B13=""),"",AUM!B13-I13)</f>
        <v/>
      </c>
      <c r="Q13" s="27" t="str">
        <f aca="false">IF(COUNT(H13)&lt;1,"",IF(J13="","",H13-J13))</f>
        <v/>
      </c>
      <c r="R13" s="25" t="s">
        <v>323</v>
      </c>
    </row>
    <row r="14" customFormat="false" ht="15" hidden="false" customHeight="false" outlineLevel="0" collapsed="false">
      <c r="A14" s="8" t="s">
        <v>82</v>
      </c>
      <c r="B14" s="22"/>
      <c r="C14" s="22"/>
      <c r="D14" s="22"/>
      <c r="E14" s="22"/>
      <c r="F14" s="22"/>
      <c r="G14" s="22"/>
      <c r="H14" s="22"/>
      <c r="I14" s="27" t="str">
        <f aca="false">IF(COUNT(B14:D14)&lt;3,"",SUM(B14:D14))</f>
        <v/>
      </c>
      <c r="J14" s="27" t="str">
        <f aca="false">IF(COUNT(E14:G14)&lt;3,"",SUM(E14:G14))</f>
        <v/>
      </c>
      <c r="K14" s="26" t="str">
        <f aca="false">IF(OR(I14=""),"",C14/I14)</f>
        <v/>
      </c>
      <c r="L14" s="26" t="str">
        <f aca="false">IF(OR(I14=""),"",D14/I14)</f>
        <v/>
      </c>
      <c r="M14" s="26" t="str">
        <f aca="false">IF(OR(I14="",J14=""),"",(E14+F14)/(B14+C14))</f>
        <v/>
      </c>
      <c r="N14" s="28" t="str">
        <f aca="false">IF(COUNT(D14,G14)&lt;2,"",G14/D14)</f>
        <v/>
      </c>
      <c r="O14" s="26" t="str">
        <f aca="false">IF(OR(I14="",J14=""),"",J14/I14)</f>
        <v/>
      </c>
      <c r="P14" s="27" t="str">
        <f aca="false">IF(OR(I14="",AUM!B14=""),"",AUM!B14-I14)</f>
        <v/>
      </c>
      <c r="Q14" s="27" t="str">
        <f aca="false">IF(COUNT(H14)&lt;1,"",IF(J14="","",H14-J14))</f>
        <v/>
      </c>
      <c r="R14" s="25" t="s">
        <v>324</v>
      </c>
    </row>
    <row r="16" customFormat="false" ht="15" hidden="false" customHeight="false" outlineLevel="0" collapsed="false">
      <c r="A16" s="6" t="s">
        <v>401</v>
      </c>
    </row>
    <row r="17" customFormat="false" ht="15" hidden="false" customHeight="false" outlineLevel="0" collapsed="false">
      <c r="A17" s="6" t="s">
        <v>402</v>
      </c>
    </row>
    <row r="18" customFormat="false" ht="15" hidden="false" customHeight="false" outlineLevel="0" collapsed="false">
      <c r="A18" s="6" t="s">
        <v>403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8" min="2" style="0" width="15"/>
    <col collapsed="false" customWidth="true" hidden="false" outlineLevel="0" max="9" min="9" style="0" width="44"/>
  </cols>
  <sheetData>
    <row r="1" customFormat="false" ht="17.35" hidden="false" customHeight="false" outlineLevel="0" collapsed="false">
      <c r="A1" s="1" t="s">
        <v>404</v>
      </c>
    </row>
    <row r="2" customFormat="false" ht="15" hidden="false" customHeight="false" outlineLevel="0" collapsed="false">
      <c r="A2" s="6" t="s">
        <v>405</v>
      </c>
    </row>
    <row r="4" customFormat="false" ht="49.5" hidden="false" customHeight="true" outlineLevel="0" collapsed="false">
      <c r="A4" s="7" t="s">
        <v>44</v>
      </c>
      <c r="B4" s="7" t="s">
        <v>406</v>
      </c>
      <c r="C4" s="7" t="s">
        <v>407</v>
      </c>
      <c r="D4" s="20" t="s">
        <v>194</v>
      </c>
      <c r="E4" s="20" t="s">
        <v>57</v>
      </c>
      <c r="F4" s="20" t="s">
        <v>202</v>
      </c>
      <c r="G4" s="20" t="s">
        <v>222</v>
      </c>
      <c r="H4" s="20" t="s">
        <v>207</v>
      </c>
      <c r="I4" s="7" t="s">
        <v>314</v>
      </c>
    </row>
    <row r="5" customFormat="false" ht="15" hidden="false" customHeight="false" outlineLevel="0" collapsed="false">
      <c r="A5" s="8" t="s">
        <v>72</v>
      </c>
      <c r="B5" s="21" t="n">
        <v>1389.55</v>
      </c>
      <c r="C5" s="21" t="n">
        <v>863.26</v>
      </c>
      <c r="D5" s="27" t="n">
        <f aca="false">IF(OR(B5="",C5=""),"",B5-C5)</f>
        <v>526.29</v>
      </c>
      <c r="E5" s="23"/>
      <c r="F5" s="23"/>
      <c r="G5" s="27" t="n">
        <f aca="false">IF(Profitability!$K5="","",Profitability!$K5)</f>
        <v>2227.31</v>
      </c>
      <c r="H5" s="28" t="n">
        <f aca="false">IF(OR(B5="",G5=""),"",B5/G5)</f>
        <v>0.623869151577464</v>
      </c>
      <c r="I5" s="25" t="s">
        <v>408</v>
      </c>
    </row>
    <row r="6" customFormat="false" ht="15" hidden="false" customHeight="false" outlineLevel="0" collapsed="false">
      <c r="A6" s="8" t="s">
        <v>74</v>
      </c>
      <c r="B6" s="21" t="n">
        <v>676.86</v>
      </c>
      <c r="C6" s="21" t="n">
        <v>1041.6</v>
      </c>
      <c r="D6" s="27" t="n">
        <f aca="false">IF(OR(B6="",C6=""),"",B6-C6)</f>
        <v>-364.74</v>
      </c>
      <c r="E6" s="26" t="n">
        <f aca="false">IF(OR(B6="",AUM!F6=""),"",B6/AUM!F6)</f>
        <v>0.0127918206128871</v>
      </c>
      <c r="F6" s="26" t="n">
        <f aca="false">IF(OR(C6="",AUM!F6=""),"",C6/AUM!F6)</f>
        <v>0.0196849575250172</v>
      </c>
      <c r="G6" s="27" t="n">
        <f aca="false">IF(Profitability!$K6="","",Profitability!$K6)</f>
        <v>2550.98</v>
      </c>
      <c r="H6" s="28" t="n">
        <f aca="false">IF(OR(B6="",G6=""),"",B6/G6)</f>
        <v>0.265333322879834</v>
      </c>
      <c r="I6" s="25" t="s">
        <v>409</v>
      </c>
    </row>
    <row r="7" customFormat="false" ht="15" hidden="false" customHeight="false" outlineLevel="0" collapsed="false">
      <c r="A7" s="8" t="s">
        <v>75</v>
      </c>
      <c r="B7" s="21" t="n">
        <v>717.11</v>
      </c>
      <c r="C7" s="21" t="n">
        <v>1801.71</v>
      </c>
      <c r="D7" s="27" t="n">
        <f aca="false">IF(OR(B7="",C7=""),"",B7-C7)</f>
        <v>-1084.6</v>
      </c>
      <c r="E7" s="26" t="n">
        <f aca="false">IF(OR(B7="",AUM!F7=""),"",B7/AUM!F7)</f>
        <v>0.0111184964641008</v>
      </c>
      <c r="F7" s="26" t="n">
        <f aca="false">IF(OR(C7="",AUM!F7=""),"",C7/AUM!F7)</f>
        <v>0.0279347746710197</v>
      </c>
      <c r="G7" s="27" t="n">
        <f aca="false">IF(Profitability!$K7="","",Profitability!$K7)</f>
        <v>3510.94</v>
      </c>
      <c r="H7" s="28" t="n">
        <f aca="false">IF(OR(B7="",G7=""),"",B7/G7)</f>
        <v>0.204250143836124</v>
      </c>
      <c r="I7" s="25" t="s">
        <v>410</v>
      </c>
    </row>
    <row r="8" customFormat="false" ht="15" hidden="false" customHeight="false" outlineLevel="0" collapsed="false">
      <c r="A8" s="8" t="s">
        <v>76</v>
      </c>
      <c r="B8" s="21" t="n">
        <v>2318.98</v>
      </c>
      <c r="C8" s="21" t="n">
        <v>889.38</v>
      </c>
      <c r="D8" s="27" t="n">
        <f aca="false">IF(OR(B8="",C8=""),"",B8-C8)</f>
        <v>1429.6</v>
      </c>
      <c r="E8" s="26" t="n">
        <f aca="false">IF(OR(B8="",AUM!F8=""),"",B8/AUM!F8)</f>
        <v>0.0314050757486397</v>
      </c>
      <c r="F8" s="26" t="n">
        <f aca="false">IF(OR(C8="",AUM!F8=""),"",C8/AUM!F8)</f>
        <v>0.0120445395257075</v>
      </c>
      <c r="G8" s="27" t="n">
        <f aca="false">IF(Profitability!$K8="","",Profitability!$K8)</f>
        <v>3875.11</v>
      </c>
      <c r="H8" s="28" t="n">
        <f aca="false">IF(OR(B8="",G8=""),"",B8/G8)</f>
        <v>0.598429463937798</v>
      </c>
      <c r="I8" s="25" t="s">
        <v>411</v>
      </c>
    </row>
    <row r="9" customFormat="false" ht="15" hidden="false" customHeight="false" outlineLevel="0" collapsed="false">
      <c r="A9" s="8" t="s">
        <v>77</v>
      </c>
      <c r="B9" s="21" t="n">
        <v>3998.74</v>
      </c>
      <c r="C9" s="21" t="n">
        <v>2486.85</v>
      </c>
      <c r="D9" s="27" t="n">
        <f aca="false">IF(OR(B9="",C9=""),"",B9-C9)</f>
        <v>1511.89</v>
      </c>
      <c r="E9" s="26" t="n">
        <f aca="false">IF(OR(B9="",AUM!F9=""),"",B9/AUM!F9)</f>
        <v>0.0537609933859864</v>
      </c>
      <c r="F9" s="26" t="n">
        <f aca="false">IF(OR(C9="",AUM!F9=""),"",C9/AUM!F9)</f>
        <v>0.0334344134407189</v>
      </c>
      <c r="G9" s="27" t="n">
        <f aca="false">IF(Profitability!$K9="","",Profitability!$K9)</f>
        <v>4664.8</v>
      </c>
      <c r="H9" s="28" t="n">
        <f aca="false">IF(OR(B9="",G9=""),"",B9/G9)</f>
        <v>0.857215743440233</v>
      </c>
      <c r="I9" s="25" t="s">
        <v>412</v>
      </c>
    </row>
    <row r="10" customFormat="false" ht="15" hidden="false" customHeight="false" outlineLevel="0" collapsed="false">
      <c r="A10" s="8" t="s">
        <v>78</v>
      </c>
      <c r="B10" s="21" t="n">
        <v>2690.38</v>
      </c>
      <c r="C10" s="21" t="n">
        <v>2777.3</v>
      </c>
      <c r="D10" s="27" t="n">
        <f aca="false">IF(OR(B10="",C10=""),"",B10-C10)</f>
        <v>-86.9200000000001</v>
      </c>
      <c r="E10" s="26" t="n">
        <f aca="false">IF(OR(B10="",AUM!F10=""),"",B10/AUM!F10)</f>
        <v>0.0371136449666659</v>
      </c>
      <c r="F10" s="26" t="n">
        <f aca="false">IF(OR(C10="",AUM!F10=""),"",C10/AUM!F10)</f>
        <v>0.0383127016131257</v>
      </c>
      <c r="G10" s="27" t="n">
        <f aca="false">IF(Profitability!$K10="","",Profitability!$K10)</f>
        <v>4174.21</v>
      </c>
      <c r="H10" s="28" t="n">
        <f aca="false">IF(OR(B10="",G10=""),"",B10/G10)</f>
        <v>0.644524353111128</v>
      </c>
      <c r="I10" s="25" t="s">
        <v>413</v>
      </c>
    </row>
    <row r="11" customFormat="false" ht="15" hidden="false" customHeight="false" outlineLevel="0" collapsed="false">
      <c r="A11" s="8" t="s">
        <v>79</v>
      </c>
      <c r="B11" s="21" t="n">
        <v>1182.59</v>
      </c>
      <c r="C11" s="21" t="n">
        <v>2606.74</v>
      </c>
      <c r="D11" s="27" t="n">
        <f aca="false">IF(OR(B11="",C11=""),"",B11-C11)</f>
        <v>-1424.15</v>
      </c>
      <c r="E11" s="26" t="n">
        <f aca="false">IF(OR(B11="",AUM!F11=""),"",B11/AUM!F11)</f>
        <v>0.0145239904860057</v>
      </c>
      <c r="F11" s="26" t="n">
        <f aca="false">IF(OR(C11="",AUM!F11=""),"",C11/AUM!F11)</f>
        <v>0.0320147024408211</v>
      </c>
      <c r="G11" s="27" t="n">
        <f aca="false">IF(Profitability!$K11="","",Profitability!$K11)</f>
        <v>3999.09</v>
      </c>
      <c r="H11" s="28" t="n">
        <f aca="false">IF(OR(B11="",G11=""),"",B11/G11)</f>
        <v>0.295714775111338</v>
      </c>
      <c r="I11" s="25" t="s">
        <v>414</v>
      </c>
    </row>
    <row r="12" customFormat="false" ht="15" hidden="false" customHeight="false" outlineLevel="0" collapsed="false">
      <c r="A12" s="8" t="s">
        <v>80</v>
      </c>
      <c r="B12" s="21" t="n">
        <v>1955.75</v>
      </c>
      <c r="C12" s="21" t="n">
        <v>1931.3</v>
      </c>
      <c r="D12" s="27" t="n">
        <f aca="false">IF(OR(B12="",C12=""),"",B12-C12)</f>
        <v>24.45</v>
      </c>
      <c r="E12" s="26" t="n">
        <f aca="false">IF(OR(B12="",AUM!F12=""),"",B12/AUM!F12)</f>
        <v>0.0195446806439656</v>
      </c>
      <c r="F12" s="26" t="n">
        <f aca="false">IF(OR(C12="",AUM!F12=""),"",C12/AUM!F12)</f>
        <v>0.0193003409063995</v>
      </c>
      <c r="G12" s="27" t="n">
        <f aca="false">IF(Profitability!$K12="","",Profitability!$K12)</f>
        <v>4487.82</v>
      </c>
      <c r="H12" s="28" t="n">
        <f aca="false">IF(OR(B12="",G12=""),"",B12/G12)</f>
        <v>0.435790651140197</v>
      </c>
      <c r="I12" s="25" t="s">
        <v>415</v>
      </c>
    </row>
    <row r="13" customFormat="false" ht="15" hidden="false" customHeight="false" outlineLevel="0" collapsed="false">
      <c r="A13" s="8" t="s">
        <v>81</v>
      </c>
      <c r="B13" s="22"/>
      <c r="C13" s="22"/>
      <c r="D13" s="27" t="str">
        <f aca="false">IF(OR(B13="",C13=""),"",B13-C13)</f>
        <v/>
      </c>
      <c r="E13" s="26" t="str">
        <f aca="false">IF(OR(B13="",AUM!F13=""),"",B13/AUM!F13)</f>
        <v/>
      </c>
      <c r="F13" s="26" t="str">
        <f aca="false">IF(OR(C13="",AUM!F13=""),"",C13/AUM!F13)</f>
        <v/>
      </c>
      <c r="G13" s="27" t="str">
        <f aca="false">IF(Profitability!$K13="","",Profitability!$K13)</f>
        <v/>
      </c>
      <c r="H13" s="28" t="str">
        <f aca="false">IF(OR(B13="",G13=""),"",B13/G13)</f>
        <v/>
      </c>
      <c r="I13" s="25" t="s">
        <v>323</v>
      </c>
    </row>
    <row r="14" customFormat="false" ht="15" hidden="false" customHeight="false" outlineLevel="0" collapsed="false">
      <c r="A14" s="8" t="s">
        <v>82</v>
      </c>
      <c r="B14" s="22"/>
      <c r="C14" s="22"/>
      <c r="D14" s="27" t="str">
        <f aca="false">IF(OR(B14="",C14=""),"",B14-C14)</f>
        <v/>
      </c>
      <c r="E14" s="26" t="str">
        <f aca="false">IF(OR(B14="",AUM!F14=""),"",B14/AUM!F14)</f>
        <v/>
      </c>
      <c r="F14" s="26" t="str">
        <f aca="false">IF(OR(C14="",AUM!F14=""),"",C14/AUM!F14)</f>
        <v/>
      </c>
      <c r="G14" s="27" t="str">
        <f aca="false">IF(Profitability!$K14="","",Profitability!$K14)</f>
        <v/>
      </c>
      <c r="H14" s="28" t="str">
        <f aca="false">IF(OR(B14="",G14=""),"",B14/G14)</f>
        <v/>
      </c>
      <c r="I14" s="25" t="s">
        <v>324</v>
      </c>
    </row>
    <row r="16" customFormat="false" ht="15" hidden="false" customHeight="false" outlineLevel="0" collapsed="false">
      <c r="A16" s="6" t="s">
        <v>416</v>
      </c>
    </row>
    <row r="17" customFormat="false" ht="15" hidden="false" customHeight="false" outlineLevel="0" collapsed="false">
      <c r="A17" s="6" t="s">
        <v>417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15" min="2" style="0" width="15"/>
    <col collapsed="false" customWidth="true" hidden="false" outlineLevel="0" max="16" min="16" style="0" width="44"/>
  </cols>
  <sheetData>
    <row r="1" customFormat="false" ht="17.35" hidden="false" customHeight="false" outlineLevel="0" collapsed="false">
      <c r="A1" s="1" t="s">
        <v>418</v>
      </c>
    </row>
    <row r="2" customFormat="false" ht="15" hidden="false" customHeight="false" outlineLevel="0" collapsed="false">
      <c r="A2" s="6" t="s">
        <v>419</v>
      </c>
    </row>
    <row r="4" customFormat="false" ht="49.5" hidden="false" customHeight="true" outlineLevel="0" collapsed="false">
      <c r="A4" s="7" t="s">
        <v>44</v>
      </c>
      <c r="B4" s="7" t="s">
        <v>59</v>
      </c>
      <c r="C4" s="7" t="s">
        <v>60</v>
      </c>
      <c r="D4" s="20" t="s">
        <v>251</v>
      </c>
      <c r="E4" s="7" t="s">
        <v>420</v>
      </c>
      <c r="F4" s="7" t="s">
        <v>421</v>
      </c>
      <c r="G4" s="7" t="s">
        <v>422</v>
      </c>
      <c r="H4" s="7" t="s">
        <v>423</v>
      </c>
      <c r="I4" s="7" t="s">
        <v>424</v>
      </c>
      <c r="J4" s="7" t="s">
        <v>425</v>
      </c>
      <c r="K4" s="7" t="s">
        <v>426</v>
      </c>
      <c r="L4" s="7" t="s">
        <v>256</v>
      </c>
      <c r="M4" s="20" t="s">
        <v>261</v>
      </c>
      <c r="N4" s="20" t="s">
        <v>266</v>
      </c>
      <c r="O4" s="20" t="s">
        <v>271</v>
      </c>
      <c r="P4" s="7" t="s">
        <v>314</v>
      </c>
    </row>
    <row r="5" customFormat="false" ht="15" hidden="false" customHeight="false" outlineLevel="0" collapsed="false">
      <c r="A5" s="8" t="s">
        <v>72</v>
      </c>
      <c r="B5" s="32" t="n">
        <v>0.172</v>
      </c>
      <c r="C5" s="32" t="n">
        <v>0.128</v>
      </c>
      <c r="D5" s="28" t="n">
        <f aca="false">IF(OR(B5=""),"",B5-C5)</f>
        <v>0.044</v>
      </c>
      <c r="E5" s="22"/>
      <c r="F5" s="22"/>
      <c r="G5" s="21" t="n">
        <v>4263.57</v>
      </c>
      <c r="H5" s="21" t="n">
        <v>53406.57</v>
      </c>
      <c r="I5" s="21" t="n">
        <v>6960.16</v>
      </c>
      <c r="J5" s="21" t="n">
        <v>99.8</v>
      </c>
      <c r="K5" s="21" t="n">
        <v>2319.1</v>
      </c>
      <c r="L5" s="21" t="n">
        <v>40811.05</v>
      </c>
      <c r="M5" s="27" t="n">
        <f aca="false">IF(OR(I5="",J5=""),"",I5+J5)</f>
        <v>7059.96</v>
      </c>
      <c r="N5" s="33" t="n">
        <f aca="false">IF(OR(L5="",M5=""),"",L5/M5)</f>
        <v>5.78063473447442</v>
      </c>
      <c r="O5" s="33" t="n">
        <f aca="false">IF(OR(H5="",M5=""),"",H5/M5)</f>
        <v>7.56471283123417</v>
      </c>
      <c r="P5" s="25" t="s">
        <v>427</v>
      </c>
    </row>
    <row r="6" customFormat="false" ht="15" hidden="false" customHeight="false" outlineLevel="0" collapsed="false">
      <c r="A6" s="8" t="s">
        <v>74</v>
      </c>
      <c r="B6" s="32" t="n">
        <v>0.22</v>
      </c>
      <c r="C6" s="32" t="n">
        <v>0.161</v>
      </c>
      <c r="D6" s="28" t="n">
        <f aca="false">IF(OR(B6=""),"",B6-C6)</f>
        <v>0.059</v>
      </c>
      <c r="E6" s="21" t="n">
        <v>21944.36</v>
      </c>
      <c r="F6" s="21" t="n">
        <v>16527.24</v>
      </c>
      <c r="G6" s="21" t="n">
        <v>3052.05</v>
      </c>
      <c r="H6" s="21" t="n">
        <v>58730.14</v>
      </c>
      <c r="I6" s="21" t="n">
        <v>9855</v>
      </c>
      <c r="J6" s="21" t="n">
        <v>145.1</v>
      </c>
      <c r="K6" s="21" t="n">
        <v>3462.5</v>
      </c>
      <c r="L6" s="27" t="n">
        <f aca="false">IF(COUNT(E6,F6,G6,K6)&lt;4,"",E6+F6+G6+K6)</f>
        <v>44986.15</v>
      </c>
      <c r="M6" s="27" t="n">
        <f aca="false">IF(OR(I6="",J6=""),"",I6+J6)</f>
        <v>10000.1</v>
      </c>
      <c r="N6" s="33" t="n">
        <f aca="false">IF(OR(L6="",M6=""),"",L6/M6)</f>
        <v>4.49857001429986</v>
      </c>
      <c r="O6" s="33" t="n">
        <f aca="false">IF(OR(H6="",M6=""),"",H6/M6)</f>
        <v>5.8729552704473</v>
      </c>
      <c r="P6" s="25" t="s">
        <v>428</v>
      </c>
    </row>
    <row r="7" customFormat="false" ht="15" hidden="false" customHeight="false" outlineLevel="0" collapsed="false">
      <c r="A7" s="8" t="s">
        <v>75</v>
      </c>
      <c r="B7" s="32" t="n">
        <v>0.203</v>
      </c>
      <c r="C7" s="32" t="n">
        <v>0.155</v>
      </c>
      <c r="D7" s="28" t="n">
        <f aca="false">IF(OR(B7=""),"",B7-C7)</f>
        <v>0.048</v>
      </c>
      <c r="E7" s="21" t="n">
        <v>24715.89</v>
      </c>
      <c r="F7" s="21" t="n">
        <v>24632.72</v>
      </c>
      <c r="G7" s="21" t="n">
        <v>5630.93</v>
      </c>
      <c r="H7" s="21" t="n">
        <v>74575.97</v>
      </c>
      <c r="I7" s="21" t="n">
        <v>11269.02</v>
      </c>
      <c r="J7" s="21" t="n">
        <v>78.51</v>
      </c>
      <c r="K7" s="21" t="n">
        <v>3822.08</v>
      </c>
      <c r="L7" s="27" t="n">
        <f aca="false">IF(COUNT(E7,F7,G7,K7)&lt;4,"",E7+F7+G7+K7)</f>
        <v>58801.62</v>
      </c>
      <c r="M7" s="27" t="n">
        <f aca="false">IF(OR(I7="",J7=""),"",I7+J7)</f>
        <v>11347.53</v>
      </c>
      <c r="N7" s="33" t="n">
        <f aca="false">IF(OR(L7="",M7=""),"",L7/M7)</f>
        <v>5.18188715958451</v>
      </c>
      <c r="O7" s="33" t="n">
        <f aca="false">IF(OR(H7="",M7=""),"",H7/M7)</f>
        <v>6.57200025027473</v>
      </c>
      <c r="P7" s="25" t="s">
        <v>429</v>
      </c>
    </row>
    <row r="8" customFormat="false" ht="15" hidden="false" customHeight="false" outlineLevel="0" collapsed="false">
      <c r="A8" s="8" t="s">
        <v>76</v>
      </c>
      <c r="B8" s="32" t="n">
        <v>0.196</v>
      </c>
      <c r="C8" s="32" t="n">
        <v>0.154</v>
      </c>
      <c r="D8" s="28" t="n">
        <f aca="false">IF(OR(B8=""),"",B8-C8)</f>
        <v>0.042</v>
      </c>
      <c r="E8" s="21" t="n">
        <v>19744.61</v>
      </c>
      <c r="F8" s="21" t="n">
        <v>33327.14</v>
      </c>
      <c r="G8" s="21" t="n">
        <v>8781.39</v>
      </c>
      <c r="H8" s="21" t="n">
        <v>81792.58</v>
      </c>
      <c r="I8" s="21" t="n">
        <v>11969</v>
      </c>
      <c r="J8" s="21" t="n">
        <v>89.68</v>
      </c>
      <c r="K8" s="21" t="n">
        <v>3781.1</v>
      </c>
      <c r="L8" s="27" t="n">
        <f aca="false">IF(COUNT(E8,F8,G8,K8)&lt;4,"",E8+F8+G8+K8)</f>
        <v>65634.24</v>
      </c>
      <c r="M8" s="27" t="n">
        <f aca="false">IF(OR(I8="",J8=""),"",I8+J8)</f>
        <v>12058.68</v>
      </c>
      <c r="N8" s="33" t="n">
        <f aca="false">IF(OR(L8="",M8=""),"",L8/M8)</f>
        <v>5.44290419846949</v>
      </c>
      <c r="O8" s="33" t="n">
        <f aca="false">IF(OR(H8="",M8=""),"",H8/M8)</f>
        <v>6.78288004988937</v>
      </c>
      <c r="P8" s="25" t="s">
        <v>430</v>
      </c>
    </row>
    <row r="9" customFormat="false" ht="15" hidden="false" customHeight="false" outlineLevel="0" collapsed="false">
      <c r="A9" s="8" t="s">
        <v>77</v>
      </c>
      <c r="B9" s="32" t="n">
        <v>0.26</v>
      </c>
      <c r="C9" s="32" t="n">
        <v>0.222</v>
      </c>
      <c r="D9" s="28" t="n">
        <f aca="false">IF(OR(B9=""),"",B9-C9)</f>
        <v>0.038</v>
      </c>
      <c r="E9" s="21" t="n">
        <v>19671.04</v>
      </c>
      <c r="F9" s="21" t="n">
        <v>32454.28</v>
      </c>
      <c r="G9" s="21" t="n">
        <v>9366.16</v>
      </c>
      <c r="H9" s="21" t="n">
        <v>85600.99</v>
      </c>
      <c r="I9" s="21" t="n">
        <v>15776.37</v>
      </c>
      <c r="J9" s="21" t="n">
        <v>99.15</v>
      </c>
      <c r="K9" s="21" t="n">
        <v>3609.47</v>
      </c>
      <c r="L9" s="27" t="n">
        <f aca="false">IF(COUNT(E9,F9,G9,K9)&lt;4,"",E9+F9+G9+K9)</f>
        <v>65100.95</v>
      </c>
      <c r="M9" s="27" t="n">
        <f aca="false">IF(OR(I9="",J9=""),"",I9+J9)</f>
        <v>15875.52</v>
      </c>
      <c r="N9" s="33" t="n">
        <f aca="false">IF(OR(L9="",M9=""),"",L9/M9)</f>
        <v>4.1007129215295</v>
      </c>
      <c r="O9" s="33" t="n">
        <f aca="false">IF(OR(H9="",M9=""),"",H9/M9)</f>
        <v>5.39201172623007</v>
      </c>
      <c r="P9" s="25" t="s">
        <v>431</v>
      </c>
    </row>
    <row r="10" customFormat="false" ht="15" hidden="false" customHeight="false" outlineLevel="0" collapsed="false">
      <c r="A10" s="8" t="s">
        <v>78</v>
      </c>
      <c r="B10" s="32" t="n">
        <v>0.278</v>
      </c>
      <c r="C10" s="32" t="n">
        <v>0.243</v>
      </c>
      <c r="D10" s="28" t="n">
        <f aca="false">IF(OR(B10=""),"",B10-C10)</f>
        <v>0.035</v>
      </c>
      <c r="E10" s="21" t="n">
        <v>21597.15</v>
      </c>
      <c r="F10" s="21" t="n">
        <v>28652.09</v>
      </c>
      <c r="G10" s="21" t="n">
        <v>8286.26</v>
      </c>
      <c r="H10" s="21" t="n">
        <v>83808.65</v>
      </c>
      <c r="I10" s="21" t="n">
        <v>16896.31</v>
      </c>
      <c r="J10" s="21" t="n">
        <v>141.46</v>
      </c>
      <c r="K10" s="21" t="n">
        <v>3590.13</v>
      </c>
      <c r="L10" s="27" t="n">
        <f aca="false">IF(COUNT(E10,F10,G10,K10)&lt;4,"",E10+F10+G10+K10)</f>
        <v>62125.63</v>
      </c>
      <c r="M10" s="27" t="n">
        <f aca="false">IF(OR(I10="",J10=""),"",I10+J10)</f>
        <v>17037.77</v>
      </c>
      <c r="N10" s="33" t="n">
        <f aca="false">IF(OR(L10="",M10=""),"",L10/M10)</f>
        <v>3.64634749735441</v>
      </c>
      <c r="O10" s="33" t="n">
        <f aca="false">IF(OR(H10="",M10=""),"",H10/M10)</f>
        <v>4.91899174598554</v>
      </c>
      <c r="P10" s="25" t="s">
        <v>432</v>
      </c>
    </row>
    <row r="11" customFormat="false" ht="15" hidden="false" customHeight="false" outlineLevel="0" collapsed="false">
      <c r="A11" s="8" t="s">
        <v>79</v>
      </c>
      <c r="B11" s="32" t="n">
        <v>0.225</v>
      </c>
      <c r="C11" s="32" t="n">
        <v>0.199</v>
      </c>
      <c r="D11" s="28" t="n">
        <f aca="false">IF(OR(B11=""),"",B11-C11)</f>
        <v>0.026</v>
      </c>
      <c r="E11" s="21" t="n">
        <v>27912.79</v>
      </c>
      <c r="F11" s="21" t="n">
        <v>44154.4</v>
      </c>
      <c r="G11" s="21" t="n">
        <v>5458.74</v>
      </c>
      <c r="H11" s="21" t="n">
        <v>105084.77</v>
      </c>
      <c r="I11" s="21" t="n">
        <v>18560.09</v>
      </c>
      <c r="J11" s="21" t="n">
        <v>141.35</v>
      </c>
      <c r="K11" s="21" t="n">
        <v>3902.63</v>
      </c>
      <c r="L11" s="27" t="n">
        <f aca="false">IF(COUNT(E11,F11,G11,K11)&lt;4,"",E11+F11+G11+K11)</f>
        <v>81428.56</v>
      </c>
      <c r="M11" s="27" t="n">
        <f aca="false">IF(OR(I11="",J11=""),"",I11+J11)</f>
        <v>18701.44</v>
      </c>
      <c r="N11" s="33" t="n">
        <f aca="false">IF(OR(L11="",M11=""),"",L11/M11)</f>
        <v>4.35413315766059</v>
      </c>
      <c r="O11" s="33" t="n">
        <f aca="false">IF(OR(H11="",M11=""),"",H11/M11)</f>
        <v>5.61907371838746</v>
      </c>
      <c r="P11" s="25" t="s">
        <v>433</v>
      </c>
    </row>
    <row r="12" customFormat="false" ht="15" hidden="false" customHeight="false" outlineLevel="0" collapsed="false">
      <c r="A12" s="8" t="s">
        <v>80</v>
      </c>
      <c r="B12" s="32" t="n">
        <v>0.189</v>
      </c>
      <c r="C12" s="32" t="n">
        <v>0.164</v>
      </c>
      <c r="D12" s="28" t="n">
        <f aca="false">IF(OR(B12=""),"",B12-C12)</f>
        <v>0.025</v>
      </c>
      <c r="E12" s="21" t="n">
        <v>29888.41</v>
      </c>
      <c r="F12" s="21" t="n">
        <v>56789.54</v>
      </c>
      <c r="G12" s="21" t="n">
        <v>7174.73</v>
      </c>
      <c r="H12" s="21" t="n">
        <v>123715.79</v>
      </c>
      <c r="I12" s="21" t="n">
        <v>19933.25</v>
      </c>
      <c r="J12" s="21" t="n">
        <v>41.61</v>
      </c>
      <c r="K12" s="21" t="n">
        <v>4466.45</v>
      </c>
      <c r="L12" s="27" t="n">
        <f aca="false">IF(COUNT(E12,F12,G12,K12)&lt;4,"",E12+F12+G12+K12)</f>
        <v>98319.13</v>
      </c>
      <c r="M12" s="27" t="n">
        <f aca="false">IF(OR(I12="",J12=""),"",I12+J12)</f>
        <v>19974.86</v>
      </c>
      <c r="N12" s="33" t="n">
        <f aca="false">IF(OR(L12="",M12=""),"",L12/M12)</f>
        <v>4.92214363454863</v>
      </c>
      <c r="O12" s="33" t="n">
        <f aca="false">IF(OR(H12="",M12=""),"",H12/M12)</f>
        <v>6.19357482355321</v>
      </c>
      <c r="P12" s="25" t="s">
        <v>434</v>
      </c>
    </row>
    <row r="13" customFormat="false" ht="15" hidden="false" customHeight="false" outlineLevel="0" collapsed="false">
      <c r="A13" s="8" t="s">
        <v>81</v>
      </c>
      <c r="B13" s="32" t="n">
        <v>0.183</v>
      </c>
      <c r="C13" s="32" t="n">
        <v>0.152</v>
      </c>
      <c r="D13" s="28" t="n">
        <f aca="false">IF(OR(B13=""),"",B13-C13)</f>
        <v>0.031</v>
      </c>
      <c r="E13" s="22"/>
      <c r="F13" s="22"/>
      <c r="G13" s="22"/>
      <c r="H13" s="22"/>
      <c r="I13" s="22"/>
      <c r="J13" s="22"/>
      <c r="K13" s="22"/>
      <c r="L13" s="22"/>
      <c r="M13" s="27" t="str">
        <f aca="false">IF(OR(I13="",J13=""),"",I13+J13)</f>
        <v/>
      </c>
      <c r="N13" s="33" t="str">
        <f aca="false">IF(OR(L13="",M13=""),"",L13/M13)</f>
        <v/>
      </c>
      <c r="O13" s="33" t="str">
        <f aca="false">IF(OR(H13="",M13=""),"",H13/M13)</f>
        <v/>
      </c>
      <c r="P13" s="25" t="s">
        <v>323</v>
      </c>
    </row>
    <row r="14" customFormat="false" ht="15" hidden="false" customHeight="false" outlineLevel="0" collapsed="false">
      <c r="A14" s="8" t="s">
        <v>82</v>
      </c>
      <c r="B14" s="32" t="n">
        <v>0.188</v>
      </c>
      <c r="C14" s="32" t="n">
        <v>0.167</v>
      </c>
      <c r="D14" s="28" t="n">
        <f aca="false">IF(OR(B14=""),"",B14-C14)</f>
        <v>0.021</v>
      </c>
      <c r="E14" s="22"/>
      <c r="F14" s="22"/>
      <c r="G14" s="22"/>
      <c r="H14" s="22"/>
      <c r="I14" s="22"/>
      <c r="J14" s="22"/>
      <c r="K14" s="22"/>
      <c r="L14" s="22"/>
      <c r="M14" s="27" t="str">
        <f aca="false">IF(OR(I14="",J14=""),"",I14+J14)</f>
        <v/>
      </c>
      <c r="N14" s="33" t="str">
        <f aca="false">IF(OR(L14="",M14=""),"",L14/M14)</f>
        <v/>
      </c>
      <c r="O14" s="33" t="str">
        <f aca="false">IF(OR(H14="",M14=""),"",H14/M14)</f>
        <v/>
      </c>
      <c r="P14" s="25" t="s">
        <v>324</v>
      </c>
    </row>
    <row r="16" customFormat="false" ht="15" hidden="false" customHeight="false" outlineLevel="0" collapsed="false">
      <c r="A16" s="6" t="s">
        <v>435</v>
      </c>
    </row>
    <row r="17" customFormat="false" ht="15" hidden="false" customHeight="false" outlineLevel="0" collapsed="false">
      <c r="A17" s="6" t="s">
        <v>436</v>
      </c>
    </row>
    <row r="18" customFormat="false" ht="15" hidden="false" customHeight="false" outlineLevel="0" collapsed="false">
      <c r="A18" s="6" t="s">
        <v>437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19" min="2" style="0" width="15"/>
    <col collapsed="false" customWidth="true" hidden="false" outlineLevel="0" max="20" min="20" style="0" width="44"/>
  </cols>
  <sheetData>
    <row r="1" customFormat="false" ht="17.35" hidden="false" customHeight="false" outlineLevel="0" collapsed="false">
      <c r="A1" s="1" t="s">
        <v>438</v>
      </c>
    </row>
    <row r="2" customFormat="false" ht="15" hidden="false" customHeight="false" outlineLevel="0" collapsed="false">
      <c r="A2" s="6" t="s">
        <v>439</v>
      </c>
    </row>
    <row r="4" customFormat="false" ht="49.5" hidden="false" customHeight="true" outlineLevel="0" collapsed="false">
      <c r="A4" s="7" t="s">
        <v>44</v>
      </c>
      <c r="B4" s="7" t="s">
        <v>440</v>
      </c>
      <c r="C4" s="7" t="s">
        <v>441</v>
      </c>
      <c r="D4" s="7" t="s">
        <v>442</v>
      </c>
      <c r="E4" s="7" t="s">
        <v>443</v>
      </c>
      <c r="F4" s="7" t="s">
        <v>444</v>
      </c>
      <c r="G4" s="7" t="s">
        <v>445</v>
      </c>
      <c r="H4" s="7" t="s">
        <v>446</v>
      </c>
      <c r="I4" s="20" t="s">
        <v>212</v>
      </c>
      <c r="J4" s="20" t="s">
        <v>217</v>
      </c>
      <c r="K4" s="20" t="s">
        <v>222</v>
      </c>
      <c r="L4" s="7" t="s">
        <v>447</v>
      </c>
      <c r="M4" s="7" t="s">
        <v>448</v>
      </c>
      <c r="N4" s="7" t="s">
        <v>449</v>
      </c>
      <c r="O4" s="20" t="s">
        <v>227</v>
      </c>
      <c r="P4" s="20" t="s">
        <v>232</v>
      </c>
      <c r="Q4" s="20" t="s">
        <v>237</v>
      </c>
      <c r="R4" s="20" t="s">
        <v>68</v>
      </c>
      <c r="S4" s="20" t="s">
        <v>246</v>
      </c>
      <c r="T4" s="7" t="s">
        <v>314</v>
      </c>
    </row>
    <row r="5" customFormat="false" ht="15" hidden="false" customHeight="false" outlineLevel="0" collapsed="false">
      <c r="A5" s="8" t="s">
        <v>72</v>
      </c>
      <c r="B5" s="21" t="n">
        <v>7200.65</v>
      </c>
      <c r="C5" s="22"/>
      <c r="D5" s="21" t="n">
        <v>3186.17</v>
      </c>
      <c r="E5" s="21" t="n">
        <v>886.64</v>
      </c>
      <c r="F5" s="21" t="n">
        <v>53.72</v>
      </c>
      <c r="G5" s="21" t="n">
        <v>846.81</v>
      </c>
      <c r="H5" s="21" t="n">
        <v>0</v>
      </c>
      <c r="I5" s="27" t="n">
        <f aca="false">IF(OR(B5="",D5=""),"",B5-D5)</f>
        <v>4014.48</v>
      </c>
      <c r="J5" s="27" t="n">
        <f aca="false">IF(COUNT(E5:H5)&lt;4,"",SUM(E5:H5))</f>
        <v>1787.17</v>
      </c>
      <c r="K5" s="27" t="n">
        <f aca="false">IF(OR(I5="",J5=""),"",I5-J5)</f>
        <v>2227.31</v>
      </c>
      <c r="L5" s="21" t="n">
        <v>837.75</v>
      </c>
      <c r="M5" s="21" t="n">
        <v>529.7</v>
      </c>
      <c r="N5" s="21" t="n">
        <v>511.64</v>
      </c>
      <c r="O5" s="23"/>
      <c r="P5" s="23"/>
      <c r="Q5" s="28" t="n">
        <f aca="false">IF(OR(J5="",I5=""),"",J5/I5)</f>
        <v>0.445180944979175</v>
      </c>
      <c r="R5" s="28" t="n">
        <f aca="false">IF(OR(Credit_Losses!B5="",I5=""),"",Credit_Losses!B5/I5)</f>
        <v>0.346134493134852</v>
      </c>
      <c r="S5" s="23"/>
      <c r="T5" s="25" t="s">
        <v>450</v>
      </c>
    </row>
    <row r="6" customFormat="false" ht="15" hidden="false" customHeight="false" outlineLevel="0" collapsed="false">
      <c r="A6" s="8" t="s">
        <v>74</v>
      </c>
      <c r="B6" s="21" t="n">
        <v>7912.18</v>
      </c>
      <c r="C6" s="21" t="n">
        <v>7605.41</v>
      </c>
      <c r="D6" s="21" t="n">
        <v>3436.19</v>
      </c>
      <c r="E6" s="21" t="n">
        <v>1136.61</v>
      </c>
      <c r="F6" s="21" t="n">
        <v>55.21</v>
      </c>
      <c r="G6" s="21" t="n">
        <v>665.27</v>
      </c>
      <c r="H6" s="21" t="n">
        <v>67.92</v>
      </c>
      <c r="I6" s="27" t="n">
        <f aca="false">IF(OR(B6="",D6=""),"",B6-D6)</f>
        <v>4475.99</v>
      </c>
      <c r="J6" s="27" t="n">
        <f aca="false">IF(COUNT(E6:H6)&lt;4,"",SUM(E6:H6))</f>
        <v>1925.01</v>
      </c>
      <c r="K6" s="27" t="n">
        <f aca="false">IF(OR(I6="",J6=""),"",I6-J6)</f>
        <v>2550.98</v>
      </c>
      <c r="L6" s="21" t="n">
        <v>1904.8</v>
      </c>
      <c r="M6" s="21" t="n">
        <v>1216.29</v>
      </c>
      <c r="N6" s="21" t="n">
        <v>1185.19</v>
      </c>
      <c r="O6" s="26" t="n">
        <f aca="false">IF(OR(M6="",Capital!$H6="",Capital!$H5=""),"",M6/AVERAGE(Capital!$H6,Capital!$H5))</f>
        <v>0.0216929852855501</v>
      </c>
      <c r="P6" s="26" t="n">
        <f aca="false">IF(OR(N6="",Capital!$I6="",Capital!$I5=""),"",N6/AVERAGE(Capital!$I6,Capital!$I5))</f>
        <v>0.140966841826066</v>
      </c>
      <c r="Q6" s="28" t="n">
        <f aca="false">IF(OR(J6="",I6=""),"",J6/I6)</f>
        <v>0.430074687387595</v>
      </c>
      <c r="R6" s="28" t="n">
        <f aca="false">IF(OR(Credit_Losses!B6="",I6=""),"",Credit_Losses!B6/I6)</f>
        <v>0.151220176988778</v>
      </c>
      <c r="S6" s="26" t="n">
        <f aca="false">IF(OR(N6="",N5=""),"",N6/N5-1)</f>
        <v>1.31645297474787</v>
      </c>
      <c r="T6" s="25" t="s">
        <v>451</v>
      </c>
    </row>
    <row r="7" customFormat="false" ht="15" hidden="false" customHeight="false" outlineLevel="0" collapsed="false">
      <c r="A7" s="8" t="s">
        <v>75</v>
      </c>
      <c r="B7" s="21" t="n">
        <v>10430.85</v>
      </c>
      <c r="C7" s="21" t="n">
        <v>9969.53</v>
      </c>
      <c r="D7" s="21" t="n">
        <v>4432.28</v>
      </c>
      <c r="E7" s="21" t="n">
        <v>1477.95</v>
      </c>
      <c r="F7" s="21" t="n">
        <v>75.53</v>
      </c>
      <c r="G7" s="21" t="n">
        <v>804.47</v>
      </c>
      <c r="H7" s="21" t="n">
        <v>129.68</v>
      </c>
      <c r="I7" s="27" t="n">
        <f aca="false">IF(OR(B7="",D7=""),"",B7-D7)</f>
        <v>5998.57</v>
      </c>
      <c r="J7" s="27" t="n">
        <f aca="false">IF(COUNT(E7:H7)&lt;4,"",SUM(E7:H7))</f>
        <v>2487.63</v>
      </c>
      <c r="K7" s="27" t="n">
        <f aca="false">IF(OR(I7="",J7=""),"",I7-J7)</f>
        <v>3510.94</v>
      </c>
      <c r="L7" s="21" t="n">
        <v>2840.76</v>
      </c>
      <c r="M7" s="21" t="n">
        <v>1867.28</v>
      </c>
      <c r="N7" s="21" t="n">
        <v>1827.3</v>
      </c>
      <c r="O7" s="26" t="n">
        <f aca="false">IF(OR(M7="",Capital!$H7="",Capital!$H6=""),"",M7/AVERAGE(Capital!$H7,Capital!$H6))</f>
        <v>0.02801491994628</v>
      </c>
      <c r="P7" s="26" t="n">
        <f aca="false">IF(OR(N7="",Capital!$I7="",Capital!$I6=""),"",N7/AVERAGE(Capital!$I7,Capital!$I6))</f>
        <v>0.173006842447602</v>
      </c>
      <c r="Q7" s="28" t="n">
        <f aca="false">IF(OR(J7="",I7=""),"",J7/I7)</f>
        <v>0.414703837747997</v>
      </c>
      <c r="R7" s="28" t="n">
        <f aca="false">IF(OR(Credit_Losses!B7="",I7=""),"",Credit_Losses!B7/I7)</f>
        <v>0.119546825326703</v>
      </c>
      <c r="S7" s="26" t="n">
        <f aca="false">IF(OR(N7="",N6=""),"",N7/N6-1)</f>
        <v>0.541778111526422</v>
      </c>
      <c r="T7" s="25" t="s">
        <v>452</v>
      </c>
    </row>
    <row r="8" customFormat="false" ht="15" hidden="false" customHeight="false" outlineLevel="0" collapsed="false">
      <c r="A8" s="8" t="s">
        <v>76</v>
      </c>
      <c r="B8" s="21" t="n">
        <v>11996.46</v>
      </c>
      <c r="C8" s="21" t="n">
        <v>11457.61</v>
      </c>
      <c r="D8" s="21" t="n">
        <v>5390.56</v>
      </c>
      <c r="E8" s="21" t="n">
        <v>1609.82</v>
      </c>
      <c r="F8" s="21" t="n">
        <v>146.87</v>
      </c>
      <c r="G8" s="21" t="n">
        <v>849.2</v>
      </c>
      <c r="H8" s="21" t="n">
        <v>124.9</v>
      </c>
      <c r="I8" s="27" t="n">
        <f aca="false">IF(OR(B8="",D8=""),"",B8-D8)</f>
        <v>6605.9</v>
      </c>
      <c r="J8" s="27" t="n">
        <f aca="false">IF(COUNT(E8:H8)&lt;4,"",SUM(E8:H8))</f>
        <v>2730.79</v>
      </c>
      <c r="K8" s="27" t="n">
        <f aca="false">IF(OR(I8="",J8=""),"",I8-J8)</f>
        <v>3875.11</v>
      </c>
      <c r="L8" s="21" t="n">
        <v>1602.03</v>
      </c>
      <c r="M8" s="21" t="n">
        <v>1085.82</v>
      </c>
      <c r="N8" s="21" t="n">
        <v>1075.15</v>
      </c>
      <c r="O8" s="26" t="n">
        <f aca="false">IF(OR(M8="",Capital!$H8="",Capital!$H7=""),"",M8/AVERAGE(Capital!$H8,Capital!$H7))</f>
        <v>0.0138879589278023</v>
      </c>
      <c r="P8" s="26" t="n">
        <f aca="false">IF(OR(N8="",Capital!$I8="",Capital!$I7=""),"",N8/AVERAGE(Capital!$I8,Capital!$I7))</f>
        <v>0.0925337012361639</v>
      </c>
      <c r="Q8" s="28" t="n">
        <f aca="false">IF(OR(J8="",I8=""),"",J8/I8)</f>
        <v>0.413386518112596</v>
      </c>
      <c r="R8" s="28" t="n">
        <f aca="false">IF(OR(Credit_Losses!B8="",I8=""),"",Credit_Losses!B8/I8)</f>
        <v>0.351046791504564</v>
      </c>
      <c r="S8" s="26" t="n">
        <f aca="false">IF(OR(N8="",N7=""),"",N8/N7-1)</f>
        <v>-0.411618234553713</v>
      </c>
      <c r="T8" s="25" t="s">
        <v>453</v>
      </c>
    </row>
    <row r="9" customFormat="false" ht="15" hidden="false" customHeight="false" outlineLevel="0" collapsed="false">
      <c r="A9" s="8" t="s">
        <v>77</v>
      </c>
      <c r="B9" s="21" t="n">
        <v>12170.5</v>
      </c>
      <c r="C9" s="21" t="n">
        <v>11703.79</v>
      </c>
      <c r="D9" s="21" t="n">
        <v>5307.57</v>
      </c>
      <c r="E9" s="21" t="n">
        <v>1384.01</v>
      </c>
      <c r="F9" s="21" t="n">
        <v>150.51</v>
      </c>
      <c r="G9" s="21" t="n">
        <v>558.81</v>
      </c>
      <c r="H9" s="21" t="n">
        <v>104.8</v>
      </c>
      <c r="I9" s="27" t="n">
        <f aca="false">IF(OR(B9="",D9=""),"",B9-D9)</f>
        <v>6862.93</v>
      </c>
      <c r="J9" s="27" t="n">
        <f aca="false">IF(COUNT(E9:H9)&lt;4,"",SUM(E9:H9))</f>
        <v>2198.13</v>
      </c>
      <c r="K9" s="27" t="n">
        <f aca="false">IF(OR(I9="",J9=""),"",I9-J9)</f>
        <v>4664.8</v>
      </c>
      <c r="L9" s="21" t="n">
        <v>934.14</v>
      </c>
      <c r="M9" s="21" t="n">
        <v>780.28</v>
      </c>
      <c r="N9" s="21" t="n">
        <v>773.21</v>
      </c>
      <c r="O9" s="26" t="n">
        <f aca="false">IF(OR(M9="",Capital!$H9="",Capital!$H8=""),"",M9/AVERAGE(Capital!$H9,Capital!$H8))</f>
        <v>0.00932269979067894</v>
      </c>
      <c r="P9" s="26" t="n">
        <f aca="false">IF(OR(N9="",Capital!$I9="",Capital!$I8=""),"",N9/AVERAGE(Capital!$I9,Capital!$I8))</f>
        <v>0.0557361462471036</v>
      </c>
      <c r="Q9" s="28" t="n">
        <f aca="false">IF(OR(J9="",I9=""),"",J9/I9)</f>
        <v>0.320290313320987</v>
      </c>
      <c r="R9" s="28" t="n">
        <f aca="false">IF(OR(Credit_Losses!B9="",I9=""),"",Credit_Losses!B9/I9)</f>
        <v>0.582657844390078</v>
      </c>
      <c r="S9" s="26" t="n">
        <f aca="false">IF(OR(N9="",N8=""),"",N9/N8-1)</f>
        <v>-0.280835232293168</v>
      </c>
      <c r="T9" s="25" t="s">
        <v>454</v>
      </c>
    </row>
    <row r="10" customFormat="false" ht="15" hidden="false" customHeight="false" outlineLevel="0" collapsed="false">
      <c r="A10" s="8" t="s">
        <v>78</v>
      </c>
      <c r="B10" s="21" t="n">
        <v>11400.51</v>
      </c>
      <c r="C10" s="21" t="n">
        <v>10858.08</v>
      </c>
      <c r="D10" s="21" t="n">
        <v>4417.37</v>
      </c>
      <c r="E10" s="21" t="n">
        <v>1613.12</v>
      </c>
      <c r="F10" s="21" t="n">
        <v>151.99</v>
      </c>
      <c r="G10" s="21" t="n">
        <v>887.71</v>
      </c>
      <c r="H10" s="21" t="n">
        <v>156.11</v>
      </c>
      <c r="I10" s="27" t="n">
        <f aca="false">IF(OR(B10="",D10=""),"",B10-D10)</f>
        <v>6983.14</v>
      </c>
      <c r="J10" s="27" t="n">
        <f aca="false">IF(COUNT(E10:H10)&lt;4,"",SUM(E10:H10))</f>
        <v>2808.93</v>
      </c>
      <c r="K10" s="27" t="n">
        <f aca="false">IF(OR(I10="",J10=""),"",I10-J10)</f>
        <v>4174.21</v>
      </c>
      <c r="L10" s="21" t="n">
        <v>1549.42</v>
      </c>
      <c r="M10" s="21" t="n">
        <v>1150.34</v>
      </c>
      <c r="N10" s="21" t="n">
        <v>1136.87</v>
      </c>
      <c r="O10" s="26" t="n">
        <f aca="false">IF(OR(M10="",Capital!$H10="",Capital!$H9=""),"",M10/AVERAGE(Capital!$H10,Capital!$H9))</f>
        <v>0.0135805731007987</v>
      </c>
      <c r="P10" s="26" t="n">
        <f aca="false">IF(OR(N10="",Capital!$I10="",Capital!$I9=""),"",N10/AVERAGE(Capital!$I10,Capital!$I9))</f>
        <v>0.0695914752019118</v>
      </c>
      <c r="Q10" s="28" t="n">
        <f aca="false">IF(OR(J10="",I10=""),"",J10/I10)</f>
        <v>0.402244549013767</v>
      </c>
      <c r="R10" s="28" t="n">
        <f aca="false">IF(OR(Credit_Losses!B10="",I10=""),"",Credit_Losses!B10/I10)</f>
        <v>0.385267945365552</v>
      </c>
      <c r="S10" s="26" t="n">
        <f aca="false">IF(OR(N10="",N9=""),"",N10/N9-1)</f>
        <v>0.47032500872984</v>
      </c>
      <c r="T10" s="25" t="s">
        <v>455</v>
      </c>
    </row>
    <row r="11" customFormat="false" ht="15" hidden="false" customHeight="false" outlineLevel="0" collapsed="false">
      <c r="A11" s="8" t="s">
        <v>79</v>
      </c>
      <c r="B11" s="21" t="n">
        <v>12832.4</v>
      </c>
      <c r="C11" s="21" t="n">
        <v>12029.51</v>
      </c>
      <c r="D11" s="21" t="n">
        <v>5094.3</v>
      </c>
      <c r="E11" s="21" t="n">
        <v>2115.33</v>
      </c>
      <c r="F11" s="21" t="n">
        <v>225.96</v>
      </c>
      <c r="G11" s="21" t="n">
        <v>1112.46</v>
      </c>
      <c r="H11" s="21" t="n">
        <v>285.26</v>
      </c>
      <c r="I11" s="27" t="n">
        <f aca="false">IF(OR(B11="",D11=""),"",B11-D11)</f>
        <v>7738.1</v>
      </c>
      <c r="J11" s="27" t="n">
        <f aca="false">IF(COUNT(E11:H11)&lt;4,"",SUM(E11:H11))</f>
        <v>3739.01</v>
      </c>
      <c r="K11" s="27" t="n">
        <f aca="false">IF(OR(I11="",J11=""),"",I11-J11)</f>
        <v>3999.09</v>
      </c>
      <c r="L11" s="21" t="n">
        <v>2803.76</v>
      </c>
      <c r="M11" s="21" t="n">
        <v>2071.2</v>
      </c>
      <c r="N11" s="21" t="n">
        <v>2072.4</v>
      </c>
      <c r="O11" s="26" t="n">
        <f aca="false">IF(OR(M11="",Capital!$H11="",Capital!$H10=""),"",M11/AVERAGE(Capital!$H11,Capital!$H10))</f>
        <v>0.0219298268833292</v>
      </c>
      <c r="P11" s="26" t="n">
        <f aca="false">IF(OR(N11="",Capital!$I11="",Capital!$I10=""),"",N11/AVERAGE(Capital!$I11,Capital!$I10))</f>
        <v>0.11689850069381</v>
      </c>
      <c r="Q11" s="28" t="n">
        <f aca="false">IF(OR(J11="",I11=""),"",J11/I11)</f>
        <v>0.483194841110867</v>
      </c>
      <c r="R11" s="28" t="n">
        <f aca="false">IF(OR(Credit_Losses!B11="",I11=""),"",Credit_Losses!B11/I11)</f>
        <v>0.152826921337279</v>
      </c>
      <c r="S11" s="26" t="n">
        <f aca="false">IF(OR(N11="",N10=""),"",N11/N10-1)</f>
        <v>0.822899715886601</v>
      </c>
      <c r="T11" s="25" t="s">
        <v>456</v>
      </c>
    </row>
    <row r="12" customFormat="false" ht="15" hidden="false" customHeight="false" outlineLevel="0" collapsed="false">
      <c r="A12" s="8" t="s">
        <v>80</v>
      </c>
      <c r="B12" s="21" t="n">
        <v>15970.32</v>
      </c>
      <c r="C12" s="21" t="n">
        <v>14412.33</v>
      </c>
      <c r="D12" s="21" t="n">
        <v>6959.2</v>
      </c>
      <c r="E12" s="21" t="n">
        <v>2261.44</v>
      </c>
      <c r="F12" s="21" t="n">
        <v>274.85</v>
      </c>
      <c r="G12" s="21" t="n">
        <v>1119.17</v>
      </c>
      <c r="H12" s="21" t="n">
        <v>867.84</v>
      </c>
      <c r="I12" s="27" t="n">
        <f aca="false">IF(OR(B12="",D12=""),"",B12-D12)</f>
        <v>9011.12</v>
      </c>
      <c r="J12" s="27" t="n">
        <f aca="false">IF(COUNT(E12:H12)&lt;4,"",SUM(E12:H12))</f>
        <v>4523.3</v>
      </c>
      <c r="K12" s="27" t="n">
        <f aca="false">IF(OR(I12="",J12=""),"",I12-J12)</f>
        <v>4487.82</v>
      </c>
      <c r="L12" s="21" t="n">
        <v>2588.18</v>
      </c>
      <c r="M12" s="21" t="n">
        <v>1943.05</v>
      </c>
      <c r="N12" s="21" t="n">
        <v>1932.69</v>
      </c>
      <c r="O12" s="26" t="n">
        <f aca="false">IF(OR(M12="",Capital!$H12="",Capital!$H11=""),"",M12/AVERAGE(Capital!$H12,Capital!$H11))</f>
        <v>0.0169846612263536</v>
      </c>
      <c r="P12" s="26" t="n">
        <f aca="false">IF(OR(N12="",Capital!$I12="",Capital!$I11=""),"",N12/AVERAGE(Capital!$I12,Capital!$I11))</f>
        <v>0.100416851330646</v>
      </c>
      <c r="Q12" s="28" t="n">
        <f aca="false">IF(OR(J12="",I12=""),"",J12/I12)</f>
        <v>0.501968678699207</v>
      </c>
      <c r="R12" s="28" t="n">
        <f aca="false">IF(OR(Credit_Losses!B12="",I12=""),"",Credit_Losses!B12/I12)</f>
        <v>0.217037393797885</v>
      </c>
      <c r="S12" s="26" t="n">
        <f aca="false">IF(OR(N12="",N11=""),"",N12/N11-1)</f>
        <v>-0.0674145917776491</v>
      </c>
      <c r="T12" s="25" t="s">
        <v>457</v>
      </c>
    </row>
    <row r="13" customFormat="false" ht="15" hidden="false" customHeight="false" outlineLevel="0" collapsed="false">
      <c r="A13" s="8" t="s">
        <v>81</v>
      </c>
      <c r="B13" s="22"/>
      <c r="C13" s="22"/>
      <c r="D13" s="22"/>
      <c r="E13" s="22"/>
      <c r="F13" s="22"/>
      <c r="G13" s="22"/>
      <c r="H13" s="22"/>
      <c r="I13" s="27" t="str">
        <f aca="false">IF(OR(B13="",D13=""),"",B13-D13)</f>
        <v/>
      </c>
      <c r="J13" s="27" t="str">
        <f aca="false">IF(COUNT(E13:H13)&lt;4,"",SUM(E13:H13))</f>
        <v/>
      </c>
      <c r="K13" s="27" t="str">
        <f aca="false">IF(OR(I13="",J13=""),"",I13-J13)</f>
        <v/>
      </c>
      <c r="L13" s="22"/>
      <c r="M13" s="22"/>
      <c r="N13" s="22"/>
      <c r="O13" s="26" t="str">
        <f aca="false">IF(OR(M13="",Capital!$H13="",Capital!$H12=""),"",M13/AVERAGE(Capital!$H13,Capital!$H12))</f>
        <v/>
      </c>
      <c r="P13" s="26" t="str">
        <f aca="false">IF(OR(N13="",Capital!$I13="",Capital!$I12=""),"",N13/AVERAGE(Capital!$I13,Capital!$I12))</f>
        <v/>
      </c>
      <c r="Q13" s="28" t="str">
        <f aca="false">IF(OR(J13="",I13=""),"",J13/I13)</f>
        <v/>
      </c>
      <c r="R13" s="28" t="str">
        <f aca="false">IF(OR(Credit_Losses!B13="",I13=""),"",Credit_Losses!B13/I13)</f>
        <v/>
      </c>
      <c r="S13" s="26" t="str">
        <f aca="false">IF(OR(N13="",N12=""),"",N13/N12-1)</f>
        <v/>
      </c>
      <c r="T13" s="25" t="s">
        <v>323</v>
      </c>
    </row>
    <row r="14" customFormat="false" ht="15" hidden="false" customHeight="false" outlineLevel="0" collapsed="false">
      <c r="A14" s="8" t="s">
        <v>82</v>
      </c>
      <c r="B14" s="22"/>
      <c r="C14" s="22"/>
      <c r="D14" s="22"/>
      <c r="E14" s="22"/>
      <c r="F14" s="22"/>
      <c r="G14" s="22"/>
      <c r="H14" s="22"/>
      <c r="I14" s="27" t="str">
        <f aca="false">IF(OR(B14="",D14=""),"",B14-D14)</f>
        <v/>
      </c>
      <c r="J14" s="27" t="str">
        <f aca="false">IF(COUNT(E14:H14)&lt;4,"",SUM(E14:H14))</f>
        <v/>
      </c>
      <c r="K14" s="27" t="str">
        <f aca="false">IF(OR(I14="",J14=""),"",I14-J14)</f>
        <v/>
      </c>
      <c r="L14" s="22"/>
      <c r="M14" s="22"/>
      <c r="N14" s="22"/>
      <c r="O14" s="26" t="str">
        <f aca="false">IF(OR(M14="",Capital!$H14="",Capital!$H13=""),"",M14/AVERAGE(Capital!$H14,Capital!$H13))</f>
        <v/>
      </c>
      <c r="P14" s="26" t="str">
        <f aca="false">IF(OR(N14="",Capital!$I14="",Capital!$I13=""),"",N14/AVERAGE(Capital!$I14,Capital!$I13))</f>
        <v/>
      </c>
      <c r="Q14" s="28" t="str">
        <f aca="false">IF(OR(J14="",I14=""),"",J14/I14)</f>
        <v/>
      </c>
      <c r="R14" s="28" t="str">
        <f aca="false">IF(OR(Credit_Losses!B14="",I14=""),"",Credit_Losses!B14/I14)</f>
        <v/>
      </c>
      <c r="S14" s="26" t="str">
        <f aca="false">IF(OR(N14="",N13=""),"",N14/N13-1)</f>
        <v/>
      </c>
      <c r="T14" s="25" t="s">
        <v>324</v>
      </c>
    </row>
    <row r="16" customFormat="false" ht="15" hidden="false" customHeight="false" outlineLevel="0" collapsed="false">
      <c r="A16" s="6" t="s">
        <v>458</v>
      </c>
    </row>
    <row r="17" customFormat="false" ht="15" hidden="false" customHeight="false" outlineLevel="0" collapsed="false">
      <c r="A17" s="6" t="s">
        <v>459</v>
      </c>
    </row>
    <row r="18" customFormat="false" ht="15" hidden="false" customHeight="false" outlineLevel="0" collapsed="false">
      <c r="A18" s="6" t="s">
        <v>460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12" min="2" style="0" width="15"/>
    <col collapsed="false" customWidth="true" hidden="false" outlineLevel="0" max="13" min="13" style="0" width="44"/>
  </cols>
  <sheetData>
    <row r="1" customFormat="false" ht="17.35" hidden="false" customHeight="false" outlineLevel="0" collapsed="false">
      <c r="A1" s="1" t="s">
        <v>461</v>
      </c>
    </row>
    <row r="2" customFormat="false" ht="15" hidden="false" customHeight="false" outlineLevel="0" collapsed="false">
      <c r="A2" s="6" t="s">
        <v>462</v>
      </c>
    </row>
    <row r="4" customFormat="false" ht="49.5" hidden="false" customHeight="true" outlineLevel="0" collapsed="false">
      <c r="A4" s="7" t="s">
        <v>44</v>
      </c>
      <c r="B4" s="7" t="s">
        <v>463</v>
      </c>
      <c r="C4" s="7" t="s">
        <v>464</v>
      </c>
      <c r="D4" s="7" t="s">
        <v>276</v>
      </c>
      <c r="E4" s="20" t="s">
        <v>465</v>
      </c>
      <c r="F4" s="20" t="s">
        <v>466</v>
      </c>
      <c r="G4" s="20" t="s">
        <v>467</v>
      </c>
      <c r="H4" s="20" t="s">
        <v>281</v>
      </c>
      <c r="I4" s="20" t="s">
        <v>468</v>
      </c>
      <c r="J4" s="20" t="s">
        <v>286</v>
      </c>
      <c r="K4" s="20" t="s">
        <v>291</v>
      </c>
      <c r="L4" s="20" t="s">
        <v>296</v>
      </c>
      <c r="M4" s="7" t="s">
        <v>314</v>
      </c>
    </row>
    <row r="5" customFormat="false" ht="15" hidden="false" customHeight="false" outlineLevel="0" collapsed="false">
      <c r="A5" s="8" t="s">
        <v>72</v>
      </c>
      <c r="B5" s="22"/>
      <c r="C5" s="22"/>
      <c r="D5" s="21" t="n">
        <v>603.88</v>
      </c>
      <c r="E5" s="10" t="n">
        <f aca="false">IF(Capital!L5="","",Capital!L5)</f>
        <v>40811.05</v>
      </c>
      <c r="F5" s="28" t="str">
        <f aca="false">IF(OR(Capital!E5="",E5=""),"",Capital!E5/E5)</f>
        <v/>
      </c>
      <c r="G5" s="28" t="str">
        <f aca="false">IF(OR(Capital!F5="",E5=""),"",Capital!F5/E5)</f>
        <v/>
      </c>
      <c r="H5" s="28" t="n">
        <f aca="false">IF(OR(Capital!G5="",E5=""),"",Capital!G5/E5)</f>
        <v>0.104470970484709</v>
      </c>
      <c r="I5" s="28" t="n">
        <f aca="false">IF(OR(Capital!K5="",E5=""),"",Capital!K5/E5)</f>
        <v>0.0568252960901521</v>
      </c>
      <c r="J5" s="26" t="n">
        <f aca="false">IF(OR(D5="",E5=""),"",D5/E5)</f>
        <v>0.0147969728786689</v>
      </c>
      <c r="K5" s="26" t="n">
        <f aca="false">IF(OR(D5="",Capital!H5=""),"",D5/Capital!H5)</f>
        <v>0.0113072230626307</v>
      </c>
      <c r="L5" s="23"/>
      <c r="M5" s="25" t="s">
        <v>469</v>
      </c>
    </row>
    <row r="6" customFormat="false" ht="15" hidden="false" customHeight="false" outlineLevel="0" collapsed="false">
      <c r="A6" s="8" t="s">
        <v>74</v>
      </c>
      <c r="B6" s="21" t="n">
        <v>338.69</v>
      </c>
      <c r="C6" s="21" t="n">
        <v>139.22</v>
      </c>
      <c r="D6" s="27" t="n">
        <f aca="false">IF(COUNT(B6,C6)&lt;2,"",B6+C6)</f>
        <v>477.91</v>
      </c>
      <c r="E6" s="10" t="n">
        <f aca="false">IF(Capital!L6="","",Capital!L6)</f>
        <v>44986.15</v>
      </c>
      <c r="F6" s="28" t="n">
        <f aca="false">IF(OR(Capital!E6="",E6=""),"",Capital!E6/E6)</f>
        <v>0.487802579238277</v>
      </c>
      <c r="G6" s="28" t="n">
        <f aca="false">IF(OR(Capital!F6="",E6=""),"",Capital!F6/E6)</f>
        <v>0.367385072961345</v>
      </c>
      <c r="H6" s="28" t="n">
        <f aca="false">IF(OR(Capital!G6="",E6=""),"",Capital!G6/E6)</f>
        <v>0.0678442142748379</v>
      </c>
      <c r="I6" s="28" t="n">
        <f aca="false">IF(OR(Capital!K6="",E6=""),"",Capital!K6/E6)</f>
        <v>0.0769681335255406</v>
      </c>
      <c r="J6" s="26" t="n">
        <f aca="false">IF(OR(D6="",E6=""),"",D6/E6)</f>
        <v>0.0106234918969505</v>
      </c>
      <c r="K6" s="26" t="n">
        <f aca="false">IF(OR(D6="",Capital!H6=""),"",D6/Capital!H6)</f>
        <v>0.00813738908165381</v>
      </c>
      <c r="L6" s="26" t="n">
        <f aca="false">IF(OR(Profitability!D6="",E6="",E5=""),"",Profitability!D6/AVERAGE(E6,E5))</f>
        <v>0.0801002829929182</v>
      </c>
      <c r="M6" s="25" t="s">
        <v>470</v>
      </c>
    </row>
    <row r="7" customFormat="false" ht="15" hidden="false" customHeight="false" outlineLevel="0" collapsed="false">
      <c r="A7" s="8" t="s">
        <v>75</v>
      </c>
      <c r="B7" s="21" t="n">
        <v>537.22</v>
      </c>
      <c r="C7" s="21" t="n">
        <v>456.81</v>
      </c>
      <c r="D7" s="27" t="n">
        <f aca="false">IF(COUNT(B7,C7)&lt;2,"",B7+C7)</f>
        <v>994.03</v>
      </c>
      <c r="E7" s="10" t="n">
        <f aca="false">IF(Capital!L7="","",Capital!L7)</f>
        <v>58801.62</v>
      </c>
      <c r="F7" s="28" t="n">
        <f aca="false">IF(OR(Capital!E7="",E7=""),"",Capital!E7/E7)</f>
        <v>0.420326684877049</v>
      </c>
      <c r="G7" s="28" t="n">
        <f aca="false">IF(OR(Capital!F7="",E7=""),"",Capital!F7/E7)</f>
        <v>0.418912268063363</v>
      </c>
      <c r="H7" s="28" t="n">
        <f aca="false">IF(OR(Capital!G7="",E7=""),"",Capital!G7/E7)</f>
        <v>0.0957614773198426</v>
      </c>
      <c r="I7" s="28" t="n">
        <f aca="false">IF(OR(Capital!K7="",E7=""),"",Capital!K7/E7)</f>
        <v>0.0649995697397453</v>
      </c>
      <c r="J7" s="26" t="n">
        <f aca="false">IF(OR(D7="",E7=""),"",D7/E7)</f>
        <v>0.0169048063641784</v>
      </c>
      <c r="K7" s="26" t="n">
        <f aca="false">IF(OR(D7="",Capital!H7=""),"",D7/Capital!H7)</f>
        <v>0.0133290924677212</v>
      </c>
      <c r="L7" s="26" t="n">
        <f aca="false">IF(OR(Profitability!D7="",E7="",E6=""),"",Profitability!D7/AVERAGE(E7,E6))</f>
        <v>0.0854104486492002</v>
      </c>
      <c r="M7" s="25" t="s">
        <v>471</v>
      </c>
    </row>
    <row r="8" customFormat="false" ht="15" hidden="false" customHeight="false" outlineLevel="0" collapsed="false">
      <c r="A8" s="8" t="s">
        <v>76</v>
      </c>
      <c r="B8" s="21" t="n">
        <v>782.6</v>
      </c>
      <c r="C8" s="21" t="n">
        <v>749</v>
      </c>
      <c r="D8" s="27" t="n">
        <f aca="false">IF(COUNT(B8,C8)&lt;2,"",B8+C8)</f>
        <v>1531.6</v>
      </c>
      <c r="E8" s="10" t="n">
        <f aca="false">IF(Capital!L8="","",Capital!L8)</f>
        <v>65634.24</v>
      </c>
      <c r="F8" s="28" t="n">
        <f aca="false">IF(OR(Capital!E8="",E8=""),"",Capital!E8/E8)</f>
        <v>0.300827891051988</v>
      </c>
      <c r="G8" s="28" t="n">
        <f aca="false">IF(OR(Capital!F8="",E8=""),"",Capital!F8/E8)</f>
        <v>0.50777063922733</v>
      </c>
      <c r="H8" s="28" t="n">
        <f aca="false">IF(OR(Capital!G8="",E8=""),"",Capital!G8/E8)</f>
        <v>0.133792819113926</v>
      </c>
      <c r="I8" s="28" t="n">
        <f aca="false">IF(OR(Capital!K8="",E8=""),"",Capital!K8/E8)</f>
        <v>0.0576086506067565</v>
      </c>
      <c r="J8" s="26" t="n">
        <f aca="false">IF(OR(D8="",E8=""),"",D8/E8)</f>
        <v>0.0233353810450155</v>
      </c>
      <c r="K8" s="26" t="n">
        <f aca="false">IF(OR(D8="",Capital!H8=""),"",D8/Capital!H8)</f>
        <v>0.0187254149459523</v>
      </c>
      <c r="L8" s="26" t="n">
        <f aca="false">IF(OR(Profitability!D8="",E8="",E7=""),"",Profitability!D8/AVERAGE(E8,E7))</f>
        <v>0.0866399766112437</v>
      </c>
      <c r="M8" s="25" t="s">
        <v>472</v>
      </c>
    </row>
    <row r="9" customFormat="false" ht="15" hidden="false" customHeight="false" outlineLevel="0" collapsed="false">
      <c r="A9" s="8" t="s">
        <v>77</v>
      </c>
      <c r="B9" s="21" t="n">
        <v>808.53</v>
      </c>
      <c r="C9" s="21" t="n">
        <v>3173.99</v>
      </c>
      <c r="D9" s="27" t="n">
        <f aca="false">IF(COUNT(B9,C9)&lt;2,"",B9+C9)</f>
        <v>3982.52</v>
      </c>
      <c r="E9" s="10" t="n">
        <f aca="false">IF(Capital!L9="","",Capital!L9)</f>
        <v>65100.95</v>
      </c>
      <c r="F9" s="28" t="n">
        <f aca="false">IF(OR(Capital!E9="",E9=""),"",Capital!E9/E9)</f>
        <v>0.302162103625216</v>
      </c>
      <c r="G9" s="28" t="n">
        <f aca="false">IF(OR(Capital!F9="",E9=""),"",Capital!F9/E9)</f>
        <v>0.498522371793346</v>
      </c>
      <c r="H9" s="28" t="n">
        <f aca="false">IF(OR(Capital!G9="",E9=""),"",Capital!G9/E9)</f>
        <v>0.143871325994475</v>
      </c>
      <c r="I9" s="28" t="n">
        <f aca="false">IF(OR(Capital!K9="",E9=""),"",Capital!K9/E9)</f>
        <v>0.0554441985869638</v>
      </c>
      <c r="J9" s="26" t="n">
        <f aca="false">IF(OR(D9="",E9=""),"",D9/E9)</f>
        <v>0.061174529711164</v>
      </c>
      <c r="K9" s="26" t="n">
        <f aca="false">IF(OR(D9="",Capital!H9=""),"",D9/Capital!H9)</f>
        <v>0.0465242282828738</v>
      </c>
      <c r="L9" s="26" t="n">
        <f aca="false">IF(OR(Profitability!D9="",E9="",E8=""),"",Profitability!D9/AVERAGE(E9,E8))</f>
        <v>0.0811957362053782</v>
      </c>
      <c r="M9" s="25" t="s">
        <v>473</v>
      </c>
    </row>
    <row r="10" customFormat="false" ht="15" hidden="false" customHeight="false" outlineLevel="0" collapsed="false">
      <c r="A10" s="8" t="s">
        <v>78</v>
      </c>
      <c r="B10" s="21" t="n">
        <v>765.32</v>
      </c>
      <c r="C10" s="21" t="n">
        <v>4062.29</v>
      </c>
      <c r="D10" s="27" t="n">
        <f aca="false">IF(COUNT(B10,C10)&lt;2,"",B10+C10)</f>
        <v>4827.61</v>
      </c>
      <c r="E10" s="10" t="n">
        <f aca="false">IF(Capital!L10="","",Capital!L10)</f>
        <v>62125.63</v>
      </c>
      <c r="F10" s="28" t="n">
        <f aca="false">IF(OR(Capital!E10="",E10=""),"",Capital!E10/E10)</f>
        <v>0.347636716118613</v>
      </c>
      <c r="G10" s="28" t="n">
        <f aca="false">IF(OR(Capital!F10="",E10=""),"",Capital!F10/E10)</f>
        <v>0.461195966946331</v>
      </c>
      <c r="H10" s="28" t="n">
        <f aca="false">IF(OR(Capital!G10="",E10=""),"",Capital!G10/E10)</f>
        <v>0.133379090079247</v>
      </c>
      <c r="I10" s="28" t="n">
        <f aca="false">IF(OR(Capital!K10="",E10=""),"",Capital!K10/E10)</f>
        <v>0.0577882268558081</v>
      </c>
      <c r="J10" s="26" t="n">
        <f aca="false">IF(OR(D10="",E10=""),"",D10/E10)</f>
        <v>0.0777072200314105</v>
      </c>
      <c r="K10" s="26" t="n">
        <f aca="false">IF(OR(D10="",Capital!H10=""),"",D10/Capital!H10)</f>
        <v>0.0576027653470137</v>
      </c>
      <c r="L10" s="26" t="n">
        <f aca="false">IF(OR(Profitability!D10="",E10="",E9=""),"",Profitability!D10/AVERAGE(E10,E9))</f>
        <v>0.069440992597616</v>
      </c>
      <c r="M10" s="25" t="s">
        <v>474</v>
      </c>
    </row>
    <row r="11" customFormat="false" ht="15" hidden="false" customHeight="false" outlineLevel="0" collapsed="false">
      <c r="A11" s="8" t="s">
        <v>79</v>
      </c>
      <c r="B11" s="21" t="n">
        <v>586.53</v>
      </c>
      <c r="C11" s="21" t="n">
        <v>3480.38</v>
      </c>
      <c r="D11" s="27" t="n">
        <f aca="false">IF(COUNT(B11,C11)&lt;2,"",B11+C11)</f>
        <v>4066.91</v>
      </c>
      <c r="E11" s="10" t="n">
        <f aca="false">IF(Capital!L11="","",Capital!L11)</f>
        <v>81428.56</v>
      </c>
      <c r="F11" s="28" t="n">
        <f aca="false">IF(OR(Capital!E11="",E11=""),"",Capital!E11/E11)</f>
        <v>0.342788697233501</v>
      </c>
      <c r="G11" s="28" t="n">
        <f aca="false">IF(OR(Capital!F11="",E11=""),"",Capital!F11/E11)</f>
        <v>0.542247093648715</v>
      </c>
      <c r="H11" s="28" t="n">
        <f aca="false">IF(OR(Capital!G11="",E11=""),"",Capital!G11/E11)</f>
        <v>0.0670371673034621</v>
      </c>
      <c r="I11" s="28" t="n">
        <f aca="false">IF(OR(Capital!K11="",E11=""),"",Capital!K11/E11)</f>
        <v>0.0479270418143217</v>
      </c>
      <c r="J11" s="26" t="n">
        <f aca="false">IF(OR(D11="",E11=""),"",D11/E11)</f>
        <v>0.0499445157816864</v>
      </c>
      <c r="K11" s="26" t="n">
        <f aca="false">IF(OR(D11="",Capital!H11=""),"",D11/Capital!H11)</f>
        <v>0.0387012313963289</v>
      </c>
      <c r="L11" s="26" t="n">
        <f aca="false">IF(OR(Profitability!D11="",E11="",E10=""),"",Profitability!D11/AVERAGE(E11,E10))</f>
        <v>0.0709738949451772</v>
      </c>
      <c r="M11" s="25" t="s">
        <v>475</v>
      </c>
    </row>
    <row r="12" customFormat="false" ht="15" hidden="false" customHeight="false" outlineLevel="0" collapsed="false">
      <c r="A12" s="8" t="s">
        <v>80</v>
      </c>
      <c r="B12" s="21" t="n">
        <v>903.54</v>
      </c>
      <c r="C12" s="21" t="n">
        <v>2551.47</v>
      </c>
      <c r="D12" s="27" t="n">
        <f aca="false">IF(COUNT(B12,C12)&lt;2,"",B12+C12)</f>
        <v>3455.01</v>
      </c>
      <c r="E12" s="10" t="n">
        <f aca="false">IF(Capital!L12="","",Capital!L12)</f>
        <v>98319.13</v>
      </c>
      <c r="F12" s="28" t="n">
        <f aca="false">IF(OR(Capital!E12="",E12=""),"",Capital!E12/E12)</f>
        <v>0.303993841279922</v>
      </c>
      <c r="G12" s="28" t="n">
        <f aca="false">IF(OR(Capital!F12="",E12=""),"",Capital!F12/E12)</f>
        <v>0.577604175301389</v>
      </c>
      <c r="H12" s="28" t="n">
        <f aca="false">IF(OR(Capital!G12="",E12=""),"",Capital!G12/E12)</f>
        <v>0.0729738963312633</v>
      </c>
      <c r="I12" s="28" t="n">
        <f aca="false">IF(OR(Capital!K12="",E12=""),"",Capital!K12/E12)</f>
        <v>0.0454280870874264</v>
      </c>
      <c r="J12" s="26" t="n">
        <f aca="false">IF(OR(D12="",E12=""),"",D12/E12)</f>
        <v>0.0351407706719944</v>
      </c>
      <c r="K12" s="26" t="n">
        <f aca="false">IF(OR(D12="",Capital!H12=""),"",D12/Capital!H12)</f>
        <v>0.0279269929893347</v>
      </c>
      <c r="L12" s="26" t="n">
        <f aca="false">IF(OR(Profitability!D12="",E12="",E11=""),"",Profitability!D12/AVERAGE(E12,E11))</f>
        <v>0.0774329839788205</v>
      </c>
      <c r="M12" s="25" t="s">
        <v>476</v>
      </c>
    </row>
    <row r="13" customFormat="false" ht="15" hidden="false" customHeight="false" outlineLevel="0" collapsed="false">
      <c r="A13" s="8" t="s">
        <v>81</v>
      </c>
      <c r="B13" s="22"/>
      <c r="C13" s="22"/>
      <c r="D13" s="22"/>
      <c r="E13" s="10" t="str">
        <f aca="false">IF(Capital!L13="","",Capital!L13)</f>
        <v/>
      </c>
      <c r="F13" s="28" t="str">
        <f aca="false">IF(OR(Capital!E13="",E13=""),"",Capital!E13/E13)</f>
        <v/>
      </c>
      <c r="G13" s="28" t="str">
        <f aca="false">IF(OR(Capital!F13="",E13=""),"",Capital!F13/E13)</f>
        <v/>
      </c>
      <c r="H13" s="28" t="str">
        <f aca="false">IF(OR(Capital!G13="",E13=""),"",Capital!G13/E13)</f>
        <v/>
      </c>
      <c r="I13" s="28" t="str">
        <f aca="false">IF(OR(Capital!K13="",E13=""),"",Capital!K13/E13)</f>
        <v/>
      </c>
      <c r="J13" s="26" t="str">
        <f aca="false">IF(OR(D13="",E13=""),"",D13/E13)</f>
        <v/>
      </c>
      <c r="K13" s="26" t="str">
        <f aca="false">IF(OR(D13="",Capital!H13=""),"",D13/Capital!H13)</f>
        <v/>
      </c>
      <c r="L13" s="26" t="str">
        <f aca="false">IF(OR(Profitability!D13="",E13="",E12=""),"",Profitability!D13/AVERAGE(E13,E12))</f>
        <v/>
      </c>
      <c r="M13" s="25" t="s">
        <v>323</v>
      </c>
    </row>
    <row r="14" customFormat="false" ht="15" hidden="false" customHeight="false" outlineLevel="0" collapsed="false">
      <c r="A14" s="8" t="s">
        <v>82</v>
      </c>
      <c r="B14" s="22"/>
      <c r="C14" s="22"/>
      <c r="D14" s="22"/>
      <c r="E14" s="10" t="str">
        <f aca="false">IF(Capital!L14="","",Capital!L14)</f>
        <v/>
      </c>
      <c r="F14" s="28" t="str">
        <f aca="false">IF(OR(Capital!E14="",E14=""),"",Capital!E14/E14)</f>
        <v/>
      </c>
      <c r="G14" s="28" t="str">
        <f aca="false">IF(OR(Capital!F14="",E14=""),"",Capital!F14/E14)</f>
        <v/>
      </c>
      <c r="H14" s="28" t="str">
        <f aca="false">IF(OR(Capital!G14="",E14=""),"",Capital!G14/E14)</f>
        <v/>
      </c>
      <c r="I14" s="28" t="str">
        <f aca="false">IF(OR(Capital!K14="",E14=""),"",Capital!K14/E14)</f>
        <v/>
      </c>
      <c r="J14" s="26" t="str">
        <f aca="false">IF(OR(D14="",E14=""),"",D14/E14)</f>
        <v/>
      </c>
      <c r="K14" s="26" t="str">
        <f aca="false">IF(OR(D14="",Capital!H14=""),"",D14/Capital!H14)</f>
        <v/>
      </c>
      <c r="L14" s="26" t="str">
        <f aca="false">IF(OR(Profitability!D14="",E14="",E13=""),"",Profitability!D14/AVERAGE(E14,E13))</f>
        <v/>
      </c>
      <c r="M14" s="25" t="s">
        <v>324</v>
      </c>
    </row>
    <row r="16" customFormat="false" ht="15" hidden="false" customHeight="false" outlineLevel="0" collapsed="false">
      <c r="A16" s="6" t="s">
        <v>477</v>
      </c>
    </row>
    <row r="17" customFormat="false" ht="15" hidden="false" customHeight="false" outlineLevel="0" collapsed="false">
      <c r="A17" s="6" t="s">
        <v>478</v>
      </c>
    </row>
    <row r="18" customFormat="false" ht="15" hidden="false" customHeight="false" outlineLevel="0" collapsed="false">
      <c r="A18" s="6" t="s">
        <v>479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70"/>
    <col collapsed="false" customWidth="true" hidden="false" outlineLevel="0" max="4" min="4" style="0" width="38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480</v>
      </c>
    </row>
    <row r="3" customFormat="false" ht="15" hidden="false" customHeight="false" outlineLevel="0" collapsed="false">
      <c r="A3" s="7" t="s">
        <v>481</v>
      </c>
      <c r="B3" s="7" t="s">
        <v>482</v>
      </c>
      <c r="C3" s="7" t="s">
        <v>483</v>
      </c>
      <c r="D3" s="7" t="s">
        <v>484</v>
      </c>
      <c r="E3" s="7" t="s">
        <v>485</v>
      </c>
    </row>
    <row r="4" customFormat="false" ht="55.2" hidden="false" customHeight="false" outlineLevel="0" collapsed="false">
      <c r="A4" s="18" t="s">
        <v>72</v>
      </c>
      <c r="B4" s="18" t="s">
        <v>486</v>
      </c>
      <c r="C4" s="18" t="s">
        <v>487</v>
      </c>
      <c r="D4" s="18" t="s">
        <v>488</v>
      </c>
      <c r="E4" s="18" t="s">
        <v>489</v>
      </c>
    </row>
    <row r="5" customFormat="false" ht="28.35" hidden="false" customHeight="false" outlineLevel="0" collapsed="false">
      <c r="A5" s="18" t="s">
        <v>72</v>
      </c>
      <c r="B5" s="18" t="s">
        <v>490</v>
      </c>
      <c r="C5" s="18" t="s">
        <v>491</v>
      </c>
      <c r="D5" s="18" t="s">
        <v>492</v>
      </c>
      <c r="E5" s="18" t="s">
        <v>493</v>
      </c>
    </row>
    <row r="6" customFormat="false" ht="55.2" hidden="false" customHeight="false" outlineLevel="0" collapsed="false">
      <c r="A6" s="18" t="s">
        <v>74</v>
      </c>
      <c r="B6" s="18" t="s">
        <v>494</v>
      </c>
      <c r="C6" s="18" t="s">
        <v>495</v>
      </c>
      <c r="D6" s="18" t="s">
        <v>496</v>
      </c>
      <c r="E6" s="18" t="s">
        <v>497</v>
      </c>
    </row>
    <row r="7" customFormat="false" ht="41.75" hidden="false" customHeight="false" outlineLevel="0" collapsed="false">
      <c r="A7" s="18" t="s">
        <v>75</v>
      </c>
      <c r="B7" s="18" t="s">
        <v>498</v>
      </c>
      <c r="C7" s="18" t="s">
        <v>499</v>
      </c>
      <c r="D7" s="18" t="s">
        <v>500</v>
      </c>
      <c r="E7" s="18" t="s">
        <v>501</v>
      </c>
    </row>
    <row r="8" customFormat="false" ht="41.75" hidden="false" customHeight="false" outlineLevel="0" collapsed="false">
      <c r="A8" s="18" t="s">
        <v>75</v>
      </c>
      <c r="B8" s="18" t="s">
        <v>502</v>
      </c>
      <c r="C8" s="18" t="s">
        <v>503</v>
      </c>
      <c r="D8" s="18" t="s">
        <v>504</v>
      </c>
      <c r="E8" s="18" t="s">
        <v>505</v>
      </c>
    </row>
    <row r="9" customFormat="false" ht="41.75" hidden="false" customHeight="false" outlineLevel="0" collapsed="false">
      <c r="A9" s="18" t="s">
        <v>75</v>
      </c>
      <c r="B9" s="18" t="s">
        <v>506</v>
      </c>
      <c r="C9" s="18" t="s">
        <v>507</v>
      </c>
      <c r="D9" s="18" t="s">
        <v>508</v>
      </c>
      <c r="E9" s="18" t="s">
        <v>509</v>
      </c>
    </row>
    <row r="10" customFormat="false" ht="28.35" hidden="false" customHeight="false" outlineLevel="0" collapsed="false">
      <c r="A10" s="18" t="s">
        <v>75</v>
      </c>
      <c r="B10" s="18" t="s">
        <v>510</v>
      </c>
      <c r="C10" s="18" t="s">
        <v>511</v>
      </c>
      <c r="D10" s="18" t="s">
        <v>512</v>
      </c>
      <c r="E10" s="18" t="s">
        <v>513</v>
      </c>
    </row>
    <row r="11" customFormat="false" ht="28.35" hidden="false" customHeight="false" outlineLevel="0" collapsed="false">
      <c r="A11" s="18" t="s">
        <v>76</v>
      </c>
      <c r="B11" s="18" t="s">
        <v>514</v>
      </c>
      <c r="C11" s="18" t="s">
        <v>515</v>
      </c>
      <c r="D11" s="18" t="s">
        <v>516</v>
      </c>
      <c r="E11" s="18" t="s">
        <v>517</v>
      </c>
    </row>
    <row r="12" customFormat="false" ht="28.35" hidden="false" customHeight="false" outlineLevel="0" collapsed="false">
      <c r="A12" s="18" t="s">
        <v>77</v>
      </c>
      <c r="B12" s="18" t="s">
        <v>518</v>
      </c>
      <c r="C12" s="18" t="s">
        <v>519</v>
      </c>
      <c r="D12" s="18" t="s">
        <v>520</v>
      </c>
      <c r="E12" s="18" t="s">
        <v>521</v>
      </c>
    </row>
    <row r="13" customFormat="false" ht="28.35" hidden="false" customHeight="false" outlineLevel="0" collapsed="false">
      <c r="A13" s="18" t="s">
        <v>78</v>
      </c>
      <c r="B13" s="18" t="s">
        <v>522</v>
      </c>
      <c r="C13" s="18" t="s">
        <v>523</v>
      </c>
      <c r="D13" s="18" t="s">
        <v>524</v>
      </c>
      <c r="E13" s="18" t="s">
        <v>525</v>
      </c>
    </row>
    <row r="14" customFormat="false" ht="28.35" hidden="false" customHeight="false" outlineLevel="0" collapsed="false">
      <c r="A14" s="18" t="s">
        <v>79</v>
      </c>
      <c r="B14" s="18" t="s">
        <v>526</v>
      </c>
      <c r="C14" s="18" t="s">
        <v>527</v>
      </c>
      <c r="D14" s="18" t="s">
        <v>528</v>
      </c>
      <c r="E14" s="18" t="s">
        <v>414</v>
      </c>
    </row>
    <row r="15" customFormat="false" ht="55.2" hidden="false" customHeight="false" outlineLevel="0" collapsed="false">
      <c r="A15" s="18" t="s">
        <v>80</v>
      </c>
      <c r="B15" s="18" t="s">
        <v>529</v>
      </c>
      <c r="C15" s="18" t="s">
        <v>530</v>
      </c>
      <c r="D15" s="18" t="s">
        <v>531</v>
      </c>
      <c r="E15" s="18" t="s">
        <v>532</v>
      </c>
    </row>
    <row r="16" customFormat="false" ht="28.35" hidden="false" customHeight="false" outlineLevel="0" collapsed="false">
      <c r="A16" s="18" t="s">
        <v>80</v>
      </c>
      <c r="B16" s="18" t="s">
        <v>533</v>
      </c>
      <c r="C16" s="18" t="s">
        <v>534</v>
      </c>
      <c r="D16" s="18" t="s">
        <v>535</v>
      </c>
      <c r="E16" s="18" t="s">
        <v>536</v>
      </c>
    </row>
    <row r="17" customFormat="false" ht="28.35" hidden="false" customHeight="false" outlineLevel="0" collapsed="false">
      <c r="A17" s="34" t="s">
        <v>537</v>
      </c>
      <c r="B17" s="34" t="s">
        <v>538</v>
      </c>
      <c r="C17" s="34" t="s">
        <v>539</v>
      </c>
      <c r="D17" s="34" t="s">
        <v>540</v>
      </c>
      <c r="E17" s="34" t="s">
        <v>540</v>
      </c>
    </row>
    <row r="19" customFormat="false" ht="15" hidden="false" customHeight="false" outlineLevel="0" collapsed="false">
      <c r="A19" s="6" t="s">
        <v>541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3" min="3" style="0" width="34"/>
    <col collapsed="false" customWidth="true" hidden="false" outlineLevel="0" max="4" min="4" style="0" width="70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542</v>
      </c>
    </row>
    <row r="2" customFormat="false" ht="15" hidden="false" customHeight="false" outlineLevel="0" collapsed="false">
      <c r="A2" s="6" t="s">
        <v>543</v>
      </c>
    </row>
    <row r="4" customFormat="false" ht="15" hidden="false" customHeight="false" outlineLevel="0" collapsed="false">
      <c r="A4" s="35" t="s">
        <v>544</v>
      </c>
      <c r="B4" s="35" t="s">
        <v>545</v>
      </c>
      <c r="C4" s="35" t="s">
        <v>546</v>
      </c>
      <c r="D4" s="35" t="s">
        <v>547</v>
      </c>
      <c r="E4" s="35" t="s">
        <v>548</v>
      </c>
    </row>
    <row r="5" customFormat="false" ht="28.35" hidden="false" customHeight="false" outlineLevel="0" collapsed="false">
      <c r="A5" s="18" t="s">
        <v>549</v>
      </c>
      <c r="B5" s="18" t="s">
        <v>550</v>
      </c>
      <c r="C5" s="18" t="s">
        <v>551</v>
      </c>
      <c r="D5" s="18" t="s">
        <v>552</v>
      </c>
      <c r="E5" s="18" t="s">
        <v>553</v>
      </c>
    </row>
    <row r="6" customFormat="false" ht="28.35" hidden="false" customHeight="false" outlineLevel="0" collapsed="false">
      <c r="A6" s="18" t="s">
        <v>554</v>
      </c>
      <c r="B6" s="18" t="s">
        <v>555</v>
      </c>
      <c r="C6" s="18" t="s">
        <v>556</v>
      </c>
      <c r="D6" s="18" t="s">
        <v>557</v>
      </c>
      <c r="E6" s="18" t="s">
        <v>558</v>
      </c>
    </row>
    <row r="7" customFormat="false" ht="28.35" hidden="false" customHeight="false" outlineLevel="0" collapsed="false">
      <c r="A7" s="18" t="s">
        <v>559</v>
      </c>
      <c r="B7" s="18" t="s">
        <v>560</v>
      </c>
      <c r="C7" s="18" t="s">
        <v>561</v>
      </c>
      <c r="D7" s="18" t="s">
        <v>562</v>
      </c>
      <c r="E7" s="18" t="s">
        <v>563</v>
      </c>
    </row>
    <row r="8" customFormat="false" ht="28.35" hidden="false" customHeight="false" outlineLevel="0" collapsed="false">
      <c r="A8" s="18" t="s">
        <v>564</v>
      </c>
      <c r="B8" s="18" t="s">
        <v>565</v>
      </c>
      <c r="C8" s="18" t="s">
        <v>566</v>
      </c>
      <c r="D8" s="18" t="s">
        <v>567</v>
      </c>
      <c r="E8" s="18" t="s">
        <v>568</v>
      </c>
    </row>
    <row r="9" customFormat="false" ht="28.35" hidden="false" customHeight="false" outlineLevel="0" collapsed="false">
      <c r="A9" s="18" t="s">
        <v>569</v>
      </c>
      <c r="B9" s="18" t="s">
        <v>570</v>
      </c>
      <c r="C9" s="18" t="s">
        <v>571</v>
      </c>
      <c r="D9" s="18" t="s">
        <v>572</v>
      </c>
      <c r="E9" s="18" t="s">
        <v>573</v>
      </c>
    </row>
    <row r="10" customFormat="false" ht="28.35" hidden="false" customHeight="false" outlineLevel="0" collapsed="false">
      <c r="A10" s="18" t="s">
        <v>574</v>
      </c>
      <c r="B10" s="18" t="s">
        <v>575</v>
      </c>
      <c r="C10" s="18" t="s">
        <v>576</v>
      </c>
      <c r="D10" s="18" t="s">
        <v>577</v>
      </c>
      <c r="E10" s="18" t="s">
        <v>578</v>
      </c>
    </row>
    <row r="11" customFormat="false" ht="15" hidden="false" customHeight="false" outlineLevel="0" collapsed="false">
      <c r="A11" s="18" t="s">
        <v>579</v>
      </c>
      <c r="B11" s="18" t="s">
        <v>580</v>
      </c>
      <c r="C11" s="18" t="s">
        <v>581</v>
      </c>
      <c r="D11" s="18" t="s">
        <v>582</v>
      </c>
      <c r="E11" s="18" t="s">
        <v>583</v>
      </c>
    </row>
    <row r="12" customFormat="false" ht="28.35" hidden="false" customHeight="false" outlineLevel="0" collapsed="false">
      <c r="A12" s="18" t="s">
        <v>584</v>
      </c>
      <c r="B12" s="18" t="s">
        <v>585</v>
      </c>
      <c r="C12" s="18" t="s">
        <v>586</v>
      </c>
      <c r="D12" s="18" t="s">
        <v>587</v>
      </c>
      <c r="E12" s="18" t="s">
        <v>583</v>
      </c>
    </row>
    <row r="13" customFormat="false" ht="28.35" hidden="false" customHeight="false" outlineLevel="0" collapsed="false">
      <c r="A13" s="18" t="s">
        <v>588</v>
      </c>
      <c r="B13" s="18" t="s">
        <v>589</v>
      </c>
      <c r="C13" s="18" t="s">
        <v>590</v>
      </c>
      <c r="D13" s="18" t="s">
        <v>591</v>
      </c>
      <c r="E13" s="18" t="s">
        <v>540</v>
      </c>
    </row>
    <row r="14" customFormat="false" ht="28.35" hidden="false" customHeight="false" outlineLevel="0" collapsed="false">
      <c r="A14" s="18" t="s">
        <v>592</v>
      </c>
      <c r="B14" s="18" t="s">
        <v>593</v>
      </c>
      <c r="C14" s="18" t="s">
        <v>594</v>
      </c>
      <c r="D14" s="18" t="s">
        <v>540</v>
      </c>
      <c r="E14" s="18" t="s">
        <v>595</v>
      </c>
    </row>
    <row r="16" customFormat="false" ht="15" hidden="false" customHeight="false" outlineLevel="0" collapsed="false">
      <c r="A16" s="2" t="s">
        <v>596</v>
      </c>
    </row>
    <row r="17" customFormat="false" ht="15" hidden="false" customHeight="false" outlineLevel="0" collapsed="false">
      <c r="A17" s="0" t="s">
        <v>597</v>
      </c>
    </row>
    <row r="18" customFormat="false" ht="15" hidden="false" customHeight="false" outlineLevel="0" collapsed="false">
      <c r="A18" s="0" t="s">
        <v>598</v>
      </c>
    </row>
    <row r="19" customFormat="false" ht="15" hidden="false" customHeight="false" outlineLevel="0" collapsed="false">
      <c r="A19" s="0" t="s">
        <v>599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2026-10-16T07:04:04Z</dcterms:created>
  <dc:creator>openpyxl</dc:creator>
  <dc:description/>
  <dc:language>en-US</dc:language>
  <cp:lastModifiedBy/>
  <dcterms:modified xsi:type="dcterms:W3CDTF">2026-10-16T07:04:04Z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