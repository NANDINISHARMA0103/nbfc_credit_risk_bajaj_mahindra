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nancial analytics\"/>
    </mc:Choice>
  </mc:AlternateContent>
  <xr:revisionPtr revIDLastSave="0" documentId="8_{8B4F6CDC-06A4-41CE-B990-DEA41202E57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ADME" sheetId="1" r:id="rId1"/>
    <sheet name="Master_Dataset" sheetId="2" r:id="rId2"/>
    <sheet name="Formulas_Guide" sheetId="3" r:id="rId3"/>
    <sheet name="AUM" sheetId="4" r:id="rId4"/>
    <sheet name="Segment_AUM" sheetId="5" r:id="rId5"/>
    <sheet name="Asset_Quality" sheetId="6" r:id="rId6"/>
    <sheet name="Stage_ECL" sheetId="7" r:id="rId7"/>
    <sheet name="Credit_Losses" sheetId="8" r:id="rId8"/>
    <sheet name="Capital" sheetId="9" r:id="rId9"/>
    <sheet name="Profitability" sheetId="10" r:id="rId10"/>
    <sheet name="Liquidity" sheetId="11" r:id="rId11"/>
    <sheet name="Risk_Notes" sheetId="12" r:id="rId12"/>
    <sheet name="Sources" sheetId="13" r:id="rId1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4" i="11" l="1"/>
  <c r="P14" i="11"/>
  <c r="O14" i="11"/>
  <c r="N14" i="11"/>
  <c r="Q13" i="11"/>
  <c r="N13" i="11"/>
  <c r="B13" i="11"/>
  <c r="P13" i="11" s="1"/>
  <c r="Q12" i="11"/>
  <c r="P12" i="11"/>
  <c r="O12" i="11"/>
  <c r="N12" i="11"/>
  <c r="Q11" i="11"/>
  <c r="P11" i="11"/>
  <c r="O11" i="11"/>
  <c r="N11" i="11"/>
  <c r="Q10" i="11"/>
  <c r="P10" i="11"/>
  <c r="O10" i="11"/>
  <c r="N10" i="11"/>
  <c r="Q9" i="11"/>
  <c r="P9" i="11"/>
  <c r="O9" i="11"/>
  <c r="N9" i="11"/>
  <c r="Q8" i="11"/>
  <c r="P8" i="11"/>
  <c r="O8" i="11"/>
  <c r="N8" i="11"/>
  <c r="Q7" i="11"/>
  <c r="P7" i="11"/>
  <c r="O7" i="11"/>
  <c r="N7" i="11"/>
  <c r="Q6" i="11"/>
  <c r="P6" i="11"/>
  <c r="O6" i="11"/>
  <c r="N6" i="11"/>
  <c r="Q5" i="11"/>
  <c r="P5" i="11"/>
  <c r="O5" i="11"/>
  <c r="N5" i="11"/>
  <c r="P14" i="10"/>
  <c r="O14" i="10"/>
  <c r="N14" i="10"/>
  <c r="Y14" i="2" s="1"/>
  <c r="M14" i="10"/>
  <c r="X14" i="2" s="1"/>
  <c r="G14" i="10"/>
  <c r="P13" i="10"/>
  <c r="O13" i="10"/>
  <c r="M13" i="10"/>
  <c r="G13" i="10"/>
  <c r="N13" i="10" s="1"/>
  <c r="Y13" i="2" s="1"/>
  <c r="P12" i="10"/>
  <c r="O12" i="10"/>
  <c r="M12" i="10"/>
  <c r="G12" i="10"/>
  <c r="N12" i="10" s="1"/>
  <c r="Y12" i="2" s="1"/>
  <c r="P11" i="10"/>
  <c r="O11" i="10"/>
  <c r="M11" i="10"/>
  <c r="X11" i="2" s="1"/>
  <c r="G11" i="10"/>
  <c r="N11" i="10" s="1"/>
  <c r="Y11" i="2" s="1"/>
  <c r="P10" i="10"/>
  <c r="O10" i="10"/>
  <c r="M10" i="10"/>
  <c r="G10" i="10"/>
  <c r="N10" i="10" s="1"/>
  <c r="Y10" i="2" s="1"/>
  <c r="P9" i="10"/>
  <c r="O9" i="10"/>
  <c r="N9" i="10"/>
  <c r="Y9" i="2" s="1"/>
  <c r="M9" i="10"/>
  <c r="G9" i="10"/>
  <c r="P8" i="10"/>
  <c r="O8" i="10"/>
  <c r="M8" i="10"/>
  <c r="G8" i="10"/>
  <c r="N8" i="10" s="1"/>
  <c r="Y8" i="2" s="1"/>
  <c r="P7" i="10"/>
  <c r="O7" i="10"/>
  <c r="N7" i="10"/>
  <c r="M7" i="10"/>
  <c r="G7" i="10"/>
  <c r="P6" i="10"/>
  <c r="O6" i="10"/>
  <c r="N6" i="10"/>
  <c r="Y6" i="2" s="1"/>
  <c r="M6" i="10"/>
  <c r="X6" i="2" s="1"/>
  <c r="G6" i="10"/>
  <c r="O5" i="10"/>
  <c r="M5" i="10"/>
  <c r="G5" i="10"/>
  <c r="N5" i="10" s="1"/>
  <c r="Y5" i="2" s="1"/>
  <c r="J14" i="9"/>
  <c r="I14" i="9"/>
  <c r="D14" i="9"/>
  <c r="J13" i="9"/>
  <c r="I13" i="9"/>
  <c r="D13" i="9"/>
  <c r="J12" i="9"/>
  <c r="I12" i="9"/>
  <c r="D12" i="9"/>
  <c r="J11" i="9"/>
  <c r="I11" i="9"/>
  <c r="S11" i="2" s="1"/>
  <c r="D11" i="9"/>
  <c r="J10" i="9"/>
  <c r="I10" i="9"/>
  <c r="D10" i="9"/>
  <c r="J9" i="9"/>
  <c r="I9" i="9"/>
  <c r="D9" i="9"/>
  <c r="J8" i="9"/>
  <c r="I8" i="9"/>
  <c r="D8" i="9"/>
  <c r="J7" i="9"/>
  <c r="I7" i="9"/>
  <c r="D7" i="9"/>
  <c r="J6" i="9"/>
  <c r="I6" i="9"/>
  <c r="D6" i="9"/>
  <c r="J5" i="9"/>
  <c r="I5" i="9"/>
  <c r="D5" i="9"/>
  <c r="H14" i="8"/>
  <c r="F14" i="8"/>
  <c r="H13" i="8"/>
  <c r="G13" i="8"/>
  <c r="N13" i="2" s="1"/>
  <c r="F13" i="8"/>
  <c r="H12" i="8"/>
  <c r="F12" i="8"/>
  <c r="H11" i="8"/>
  <c r="F11" i="8"/>
  <c r="H10" i="8"/>
  <c r="F10" i="8"/>
  <c r="H9" i="8"/>
  <c r="F9" i="8"/>
  <c r="H8" i="8"/>
  <c r="F8" i="8"/>
  <c r="H7" i="8"/>
  <c r="F7" i="8"/>
  <c r="H6" i="8"/>
  <c r="F6" i="8"/>
  <c r="F5" i="8"/>
  <c r="N14" i="7"/>
  <c r="M14" i="7"/>
  <c r="K14" i="7"/>
  <c r="J14" i="7"/>
  <c r="I14" i="7"/>
  <c r="L14" i="7" s="1"/>
  <c r="H14" i="7"/>
  <c r="N13" i="7"/>
  <c r="M13" i="7"/>
  <c r="I13" i="7"/>
  <c r="H13" i="7"/>
  <c r="L13" i="7" s="1"/>
  <c r="M12" i="7"/>
  <c r="L12" i="7"/>
  <c r="I12" i="7"/>
  <c r="H12" i="7"/>
  <c r="N12" i="7" s="1"/>
  <c r="N11" i="7"/>
  <c r="M11" i="7"/>
  <c r="L11" i="7"/>
  <c r="K11" i="7"/>
  <c r="K11" i="2" s="1"/>
  <c r="I11" i="7"/>
  <c r="H11" i="7"/>
  <c r="J11" i="7" s="1"/>
  <c r="J11" i="2" s="1"/>
  <c r="N10" i="7"/>
  <c r="M10" i="7"/>
  <c r="K10" i="7"/>
  <c r="K10" i="2" s="1"/>
  <c r="J10" i="7"/>
  <c r="J10" i="2" s="1"/>
  <c r="I10" i="7"/>
  <c r="H10" i="7"/>
  <c r="L10" i="7" s="1"/>
  <c r="M9" i="7"/>
  <c r="K9" i="7"/>
  <c r="J9" i="7"/>
  <c r="J9" i="2" s="1"/>
  <c r="I9" i="7"/>
  <c r="L9" i="7" s="1"/>
  <c r="H9" i="7"/>
  <c r="M8" i="7"/>
  <c r="I8" i="7"/>
  <c r="H8" i="7"/>
  <c r="L8" i="7" s="1"/>
  <c r="M7" i="7"/>
  <c r="I7" i="7"/>
  <c r="H7" i="7"/>
  <c r="K7" i="7" s="1"/>
  <c r="K7" i="2" s="1"/>
  <c r="N6" i="7"/>
  <c r="M6" i="7"/>
  <c r="K6" i="7"/>
  <c r="J6" i="7"/>
  <c r="I6" i="7"/>
  <c r="L6" i="7" s="1"/>
  <c r="H6" i="7"/>
  <c r="N5" i="7"/>
  <c r="M5" i="7"/>
  <c r="I5" i="7"/>
  <c r="H5" i="7"/>
  <c r="L5" i="7" s="1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G5" i="6"/>
  <c r="F136" i="5"/>
  <c r="E136" i="5"/>
  <c r="D136" i="5"/>
  <c r="C136" i="5"/>
  <c r="B136" i="5"/>
  <c r="G136" i="5" s="1"/>
  <c r="F135" i="5"/>
  <c r="G135" i="5" s="1"/>
  <c r="E135" i="5"/>
  <c r="D135" i="5"/>
  <c r="C135" i="5"/>
  <c r="B135" i="5"/>
  <c r="F134" i="5"/>
  <c r="E134" i="5"/>
  <c r="D134" i="5"/>
  <c r="G134" i="5" s="1"/>
  <c r="C134" i="5"/>
  <c r="B134" i="5"/>
  <c r="F133" i="5"/>
  <c r="E133" i="5"/>
  <c r="D133" i="5"/>
  <c r="C133" i="5"/>
  <c r="B133" i="5"/>
  <c r="G133" i="5" s="1"/>
  <c r="F132" i="5"/>
  <c r="E132" i="5"/>
  <c r="D132" i="5"/>
  <c r="C132" i="5"/>
  <c r="B132" i="5"/>
  <c r="G132" i="5" s="1"/>
  <c r="F131" i="5"/>
  <c r="G131" i="5" s="1"/>
  <c r="E131" i="5"/>
  <c r="D131" i="5"/>
  <c r="C131" i="5"/>
  <c r="B131" i="5"/>
  <c r="F130" i="5"/>
  <c r="E130" i="5"/>
  <c r="D130" i="5"/>
  <c r="G130" i="5" s="1"/>
  <c r="C130" i="5"/>
  <c r="B130" i="5"/>
  <c r="F129" i="5"/>
  <c r="E129" i="5"/>
  <c r="D129" i="5"/>
  <c r="C129" i="5"/>
  <c r="B129" i="5"/>
  <c r="G129" i="5" s="1"/>
  <c r="D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D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D91" i="5"/>
  <c r="E90" i="5"/>
  <c r="E89" i="5"/>
  <c r="E88" i="5"/>
  <c r="E87" i="5"/>
  <c r="E86" i="5"/>
  <c r="E85" i="5"/>
  <c r="E84" i="5"/>
  <c r="E83" i="5"/>
  <c r="E82" i="5"/>
  <c r="E81" i="5"/>
  <c r="E80" i="5"/>
  <c r="D78" i="5"/>
  <c r="E77" i="5"/>
  <c r="E76" i="5"/>
  <c r="E75" i="5"/>
  <c r="E74" i="5"/>
  <c r="E73" i="5"/>
  <c r="E72" i="5"/>
  <c r="E71" i="5"/>
  <c r="E70" i="5"/>
  <c r="E69" i="5"/>
  <c r="E68" i="5"/>
  <c r="E67" i="5"/>
  <c r="D65" i="5"/>
  <c r="E64" i="5"/>
  <c r="E63" i="5"/>
  <c r="E62" i="5"/>
  <c r="E61" i="5"/>
  <c r="E60" i="5"/>
  <c r="E59" i="5"/>
  <c r="E58" i="5"/>
  <c r="E57" i="5"/>
  <c r="E56" i="5"/>
  <c r="E55" i="5"/>
  <c r="D53" i="5"/>
  <c r="E52" i="5"/>
  <c r="E51" i="5"/>
  <c r="E50" i="5"/>
  <c r="E49" i="5"/>
  <c r="E48" i="5"/>
  <c r="E47" i="5"/>
  <c r="E46" i="5"/>
  <c r="E45" i="5"/>
  <c r="E44" i="5"/>
  <c r="E43" i="5"/>
  <c r="D41" i="5"/>
  <c r="E40" i="5"/>
  <c r="E39" i="5"/>
  <c r="E38" i="5"/>
  <c r="E37" i="5"/>
  <c r="E36" i="5"/>
  <c r="E35" i="5"/>
  <c r="E34" i="5"/>
  <c r="E33" i="5"/>
  <c r="E32" i="5"/>
  <c r="E31" i="5"/>
  <c r="D29" i="5"/>
  <c r="E28" i="5"/>
  <c r="E27" i="5"/>
  <c r="E26" i="5"/>
  <c r="E25" i="5"/>
  <c r="E24" i="5"/>
  <c r="E23" i="5"/>
  <c r="E22" i="5"/>
  <c r="E21" i="5"/>
  <c r="E20" i="5"/>
  <c r="E19" i="5"/>
  <c r="D17" i="5"/>
  <c r="E16" i="5"/>
  <c r="E15" i="5"/>
  <c r="E14" i="5"/>
  <c r="E13" i="5"/>
  <c r="E12" i="5"/>
  <c r="D10" i="5"/>
  <c r="E9" i="5"/>
  <c r="E8" i="5"/>
  <c r="E7" i="5"/>
  <c r="E6" i="5"/>
  <c r="E5" i="5"/>
  <c r="H14" i="4"/>
  <c r="G14" i="4"/>
  <c r="G14" i="8" s="1"/>
  <c r="N14" i="2" s="1"/>
  <c r="F14" i="4"/>
  <c r="E14" i="4"/>
  <c r="H13" i="4"/>
  <c r="G13" i="4"/>
  <c r="F13" i="4"/>
  <c r="E13" i="4"/>
  <c r="H12" i="4"/>
  <c r="G12" i="4"/>
  <c r="G12" i="8" s="1"/>
  <c r="N12" i="2" s="1"/>
  <c r="F12" i="4"/>
  <c r="E12" i="4"/>
  <c r="H11" i="4"/>
  <c r="G11" i="4"/>
  <c r="G11" i="8" s="1"/>
  <c r="N11" i="2" s="1"/>
  <c r="F11" i="4"/>
  <c r="E11" i="4"/>
  <c r="H10" i="4"/>
  <c r="G10" i="4"/>
  <c r="G10" i="8" s="1"/>
  <c r="N10" i="2" s="1"/>
  <c r="F10" i="4"/>
  <c r="E10" i="4"/>
  <c r="H9" i="4"/>
  <c r="G9" i="4"/>
  <c r="G9" i="8" s="1"/>
  <c r="N9" i="2" s="1"/>
  <c r="F9" i="4"/>
  <c r="E9" i="4"/>
  <c r="H8" i="4"/>
  <c r="G8" i="4"/>
  <c r="G8" i="8" s="1"/>
  <c r="N8" i="2" s="1"/>
  <c r="F8" i="4"/>
  <c r="E8" i="4"/>
  <c r="H7" i="4"/>
  <c r="G7" i="4"/>
  <c r="G7" i="8" s="1"/>
  <c r="N7" i="2" s="1"/>
  <c r="F7" i="4"/>
  <c r="E7" i="4"/>
  <c r="H6" i="4"/>
  <c r="G6" i="4"/>
  <c r="G6" i="8" s="1"/>
  <c r="N6" i="2" s="1"/>
  <c r="F6" i="4"/>
  <c r="E6" i="4"/>
  <c r="H5" i="4"/>
  <c r="AE14" i="2"/>
  <c r="AD14" i="2"/>
  <c r="AC14" i="2"/>
  <c r="AB14" i="2"/>
  <c r="AA14" i="2"/>
  <c r="Z14" i="2"/>
  <c r="W14" i="2"/>
  <c r="V14" i="2"/>
  <c r="U14" i="2"/>
  <c r="T14" i="2"/>
  <c r="S14" i="2"/>
  <c r="R14" i="2"/>
  <c r="Q14" i="2"/>
  <c r="P14" i="2"/>
  <c r="O14" i="2"/>
  <c r="M14" i="2"/>
  <c r="L14" i="2"/>
  <c r="K14" i="2"/>
  <c r="J14" i="2"/>
  <c r="I14" i="2"/>
  <c r="H14" i="2"/>
  <c r="G14" i="2"/>
  <c r="F14" i="2"/>
  <c r="E14" i="2"/>
  <c r="D14" i="2"/>
  <c r="C14" i="2"/>
  <c r="AE13" i="2"/>
  <c r="AD13" i="2"/>
  <c r="AC13" i="2"/>
  <c r="AB13" i="2"/>
  <c r="AA13" i="2"/>
  <c r="Z13" i="2"/>
  <c r="X13" i="2"/>
  <c r="W13" i="2"/>
  <c r="V13" i="2"/>
  <c r="U13" i="2"/>
  <c r="T13" i="2"/>
  <c r="S13" i="2"/>
  <c r="R13" i="2"/>
  <c r="Q13" i="2"/>
  <c r="P13" i="2"/>
  <c r="O13" i="2"/>
  <c r="M13" i="2"/>
  <c r="L13" i="2"/>
  <c r="I13" i="2"/>
  <c r="H13" i="2"/>
  <c r="G13" i="2"/>
  <c r="F13" i="2"/>
  <c r="E13" i="2"/>
  <c r="D13" i="2"/>
  <c r="C13" i="2"/>
  <c r="AE12" i="2"/>
  <c r="AD12" i="2"/>
  <c r="AC12" i="2"/>
  <c r="AB12" i="2"/>
  <c r="AA12" i="2"/>
  <c r="Z12" i="2"/>
  <c r="X12" i="2"/>
  <c r="W12" i="2"/>
  <c r="V12" i="2"/>
  <c r="U12" i="2"/>
  <c r="T12" i="2"/>
  <c r="S12" i="2"/>
  <c r="R12" i="2"/>
  <c r="Q12" i="2"/>
  <c r="P12" i="2"/>
  <c r="O12" i="2"/>
  <c r="M12" i="2"/>
  <c r="L12" i="2"/>
  <c r="I12" i="2"/>
  <c r="H12" i="2"/>
  <c r="G12" i="2"/>
  <c r="F12" i="2"/>
  <c r="E12" i="2"/>
  <c r="D12" i="2"/>
  <c r="C12" i="2"/>
  <c r="AE11" i="2"/>
  <c r="AD11" i="2"/>
  <c r="AC11" i="2"/>
  <c r="AB11" i="2"/>
  <c r="AA11" i="2"/>
  <c r="Z11" i="2"/>
  <c r="W11" i="2"/>
  <c r="V11" i="2"/>
  <c r="U11" i="2"/>
  <c r="T11" i="2"/>
  <c r="R11" i="2"/>
  <c r="Q11" i="2"/>
  <c r="P11" i="2"/>
  <c r="O11" i="2"/>
  <c r="M11" i="2"/>
  <c r="L11" i="2"/>
  <c r="I11" i="2"/>
  <c r="H11" i="2"/>
  <c r="G11" i="2"/>
  <c r="F11" i="2"/>
  <c r="E11" i="2"/>
  <c r="D11" i="2"/>
  <c r="C11" i="2"/>
  <c r="AE10" i="2"/>
  <c r="AD10" i="2"/>
  <c r="AC10" i="2"/>
  <c r="AB10" i="2"/>
  <c r="AA10" i="2"/>
  <c r="Z10" i="2"/>
  <c r="X10" i="2"/>
  <c r="W10" i="2"/>
  <c r="V10" i="2"/>
  <c r="U10" i="2"/>
  <c r="T10" i="2"/>
  <c r="S10" i="2"/>
  <c r="R10" i="2"/>
  <c r="Q10" i="2"/>
  <c r="P10" i="2"/>
  <c r="O10" i="2"/>
  <c r="M10" i="2"/>
  <c r="L10" i="2"/>
  <c r="I10" i="2"/>
  <c r="H10" i="2"/>
  <c r="G10" i="2"/>
  <c r="F10" i="2"/>
  <c r="E10" i="2"/>
  <c r="D10" i="2"/>
  <c r="C10" i="2"/>
  <c r="AE9" i="2"/>
  <c r="AD9" i="2"/>
  <c r="AC9" i="2"/>
  <c r="AB9" i="2"/>
  <c r="AA9" i="2"/>
  <c r="Z9" i="2"/>
  <c r="X9" i="2"/>
  <c r="W9" i="2"/>
  <c r="V9" i="2"/>
  <c r="U9" i="2"/>
  <c r="T9" i="2"/>
  <c r="S9" i="2"/>
  <c r="R9" i="2"/>
  <c r="Q9" i="2"/>
  <c r="P9" i="2"/>
  <c r="O9" i="2"/>
  <c r="M9" i="2"/>
  <c r="L9" i="2"/>
  <c r="K9" i="2"/>
  <c r="I9" i="2"/>
  <c r="H9" i="2"/>
  <c r="G9" i="2"/>
  <c r="F9" i="2"/>
  <c r="E9" i="2"/>
  <c r="D9" i="2"/>
  <c r="C9" i="2"/>
  <c r="AE8" i="2"/>
  <c r="AD8" i="2"/>
  <c r="AC8" i="2"/>
  <c r="AB8" i="2"/>
  <c r="AA8" i="2"/>
  <c r="Z8" i="2"/>
  <c r="X8" i="2"/>
  <c r="W8" i="2"/>
  <c r="V8" i="2"/>
  <c r="U8" i="2"/>
  <c r="T8" i="2"/>
  <c r="S8" i="2"/>
  <c r="R8" i="2"/>
  <c r="Q8" i="2"/>
  <c r="P8" i="2"/>
  <c r="O8" i="2"/>
  <c r="M8" i="2"/>
  <c r="L8" i="2"/>
  <c r="I8" i="2"/>
  <c r="H8" i="2"/>
  <c r="G8" i="2"/>
  <c r="F8" i="2"/>
  <c r="E8" i="2"/>
  <c r="D8" i="2"/>
  <c r="C8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M7" i="2"/>
  <c r="L7" i="2"/>
  <c r="I7" i="2"/>
  <c r="H7" i="2"/>
  <c r="G7" i="2"/>
  <c r="F7" i="2"/>
  <c r="E7" i="2"/>
  <c r="D7" i="2"/>
  <c r="C7" i="2"/>
  <c r="AE6" i="2"/>
  <c r="AD6" i="2"/>
  <c r="AC6" i="2"/>
  <c r="AB6" i="2"/>
  <c r="AA6" i="2"/>
  <c r="Z6" i="2"/>
  <c r="W6" i="2"/>
  <c r="V6" i="2"/>
  <c r="U6" i="2"/>
  <c r="T6" i="2"/>
  <c r="S6" i="2"/>
  <c r="R6" i="2"/>
  <c r="Q6" i="2"/>
  <c r="P6" i="2"/>
  <c r="O6" i="2"/>
  <c r="M6" i="2"/>
  <c r="L6" i="2"/>
  <c r="K6" i="2"/>
  <c r="J6" i="2"/>
  <c r="I6" i="2"/>
  <c r="H6" i="2"/>
  <c r="G6" i="2"/>
  <c r="F6" i="2"/>
  <c r="E6" i="2"/>
  <c r="D6" i="2"/>
  <c r="C6" i="2"/>
  <c r="AE5" i="2"/>
  <c r="AD5" i="2"/>
  <c r="AC5" i="2"/>
  <c r="AB5" i="2"/>
  <c r="AA5" i="2"/>
  <c r="Z5" i="2"/>
  <c r="X5" i="2"/>
  <c r="W5" i="2"/>
  <c r="V5" i="2"/>
  <c r="U5" i="2"/>
  <c r="T5" i="2"/>
  <c r="S5" i="2"/>
  <c r="R5" i="2"/>
  <c r="Q5" i="2"/>
  <c r="P5" i="2"/>
  <c r="O5" i="2"/>
  <c r="N5" i="2"/>
  <c r="M5" i="2"/>
  <c r="L5" i="2"/>
  <c r="I5" i="2"/>
  <c r="H5" i="2"/>
  <c r="G5" i="2"/>
  <c r="F5" i="2"/>
  <c r="E5" i="2"/>
  <c r="D5" i="2"/>
  <c r="C5" i="2"/>
  <c r="J5" i="7" l="1"/>
  <c r="J5" i="2" s="1"/>
  <c r="L7" i="7"/>
  <c r="N9" i="7"/>
  <c r="J13" i="7"/>
  <c r="J13" i="2" s="1"/>
  <c r="K5" i="7"/>
  <c r="K5" i="2" s="1"/>
  <c r="N8" i="7"/>
  <c r="J12" i="7"/>
  <c r="J12" i="2" s="1"/>
  <c r="K13" i="7"/>
  <c r="K13" i="2" s="1"/>
  <c r="O13" i="11"/>
  <c r="N7" i="7"/>
  <c r="K12" i="7"/>
  <c r="K12" i="2" s="1"/>
  <c r="J8" i="7"/>
  <c r="J8" i="2" s="1"/>
  <c r="J7" i="7"/>
  <c r="J7" i="2" s="1"/>
  <c r="K8" i="7"/>
  <c r="K8" i="2" s="1"/>
</calcChain>
</file>

<file path=xl/sharedStrings.xml><?xml version="1.0" encoding="utf-8"?>
<sst xmlns="http://schemas.openxmlformats.org/spreadsheetml/2006/main" count="1514" uniqueCount="665">
  <si>
    <t>Bajaj Finance Ltd — Credit-risk dataset, FY2016-17 to FY2025-26 (10 years)</t>
  </si>
  <si>
    <t>Basis</t>
  </si>
  <si>
    <t>Consolidated (BFL + Bajaj Housing Finance + Bajaj Financial Securities), ₹ crore, years ending 31 March — unless a column says 'standalone'.</t>
  </si>
  <si>
    <t>Colour code</t>
  </si>
  <si>
    <t>Blue = figure from company disclosures · Black = formula · Green = linked from another sheet · Yellow = not yet collected · Grey = not applicable (pre-Ind AS).</t>
  </si>
  <si>
    <t>Loss basis</t>
  </si>
  <si>
    <t>Loan losses, credit cost and PAT are on the ORIGINAL presentation basis (before the FY26 reclassification of recoveries on written-off loans), so all years compare. Restated FY25/FY26 figures are noted in Credit_Losses.</t>
  </si>
  <si>
    <t>NPA note</t>
  </si>
  <si>
    <t>NPA recognition tightened over time: 4 months overdue in FY17, 3 months from FY18, strict 91 dpd from Dec-2021 — ratios are not strictly comparable across these breaks.</t>
  </si>
  <si>
    <t>Accounting break</t>
  </si>
  <si>
    <t>FY2016-17 is under previous Indian GAAP (no Stage 1/2/3 or ECL — grey cells). Ind AS applies from FY2017-18 (as restated in the FY19 report). FY17 AUM and ratios are on the company's standalone IGAAP basis.</t>
  </si>
  <si>
    <t>Sheet</t>
  </si>
  <si>
    <t>What it holds</t>
  </si>
  <si>
    <t>Formulas_Guide</t>
  </si>
  <si>
    <t>Every formula used: plain-English version, purpose, and the actual Excel formula.</t>
  </si>
  <si>
    <t>Master_Dataset</t>
  </si>
  <si>
    <t>One row per year with every key variable, linked from the topic sheets — use this for graphs, correlation and your risk index.</t>
  </si>
  <si>
    <t>AUM</t>
  </si>
  <si>
    <t>Total AUM (consolidated &amp; standalone), AUF, growth.</t>
  </si>
  <si>
    <t>Segment_AUM</t>
  </si>
  <si>
    <t>Product-wise AUM and segment GNPA, with secured/unsecured and risk tier; broad 5-bucket mix.</t>
  </si>
  <si>
    <t>Asset_Quality</t>
  </si>
  <si>
    <t>GNPA %, NNPA %, Gross NPA ₹, Net NPA ₹, PCR.</t>
  </si>
  <si>
    <t>Stage_ECL</t>
  </si>
  <si>
    <t>Stage 1/2/3 gross loans and ECL allowance by stage, coverage ratios.</t>
  </si>
  <si>
    <t>Credit_Losses</t>
  </si>
  <si>
    <t>Loan-loss provisions, credit cost, write-offs, one-time items.</t>
  </si>
  <si>
    <t>Capital</t>
  </si>
  <si>
    <t>CRAR, Tier 1, Tier 2, leverage, borrowings, equity, debt/equity.</t>
  </si>
  <si>
    <t>Profitability</t>
  </si>
  <si>
    <t>Income, interest expense, NTI, opex, PBT, PAT, ROA, ROE, cost of funds.</t>
  </si>
  <si>
    <t>Liquidity</t>
  </si>
  <si>
    <t>Liquidity buffer, LCR, deposits, borrowing mix, ALM maturity gaps, cost of funds.</t>
  </si>
  <si>
    <t>Risk_Notes</t>
  </si>
  <si>
    <t>Year-wise risk-management actions and credit events (qualitative).</t>
  </si>
  <si>
    <t>Sources</t>
  </si>
  <si>
    <t>Every document used, with links and page/slide numbers; list of remaining gaps.</t>
  </si>
  <si>
    <t>Master dataset — Bajaj Finance (consolidated), one row per year</t>
  </si>
  <si>
    <t>All cells link to the topic sheets (green) — edit numbers there, not here. Use this sheet for charts, correlations and the credit-risk index.</t>
  </si>
  <si>
    <t>Financial year</t>
  </si>
  <si>
    <t>Company</t>
  </si>
  <si>
    <t>AUM (₹ cr)</t>
  </si>
  <si>
    <t>AUM growth %</t>
  </si>
  <si>
    <t>GNPA %</t>
  </si>
  <si>
    <t>NNPA %</t>
  </si>
  <si>
    <t>Gross NPA ₹</t>
  </si>
  <si>
    <t>Net NPA ₹</t>
  </si>
  <si>
    <t>PCR %</t>
  </si>
  <si>
    <t>Stage 2 % of loans</t>
  </si>
  <si>
    <t>Stage 3 % of loans</t>
  </si>
  <si>
    <t>Loan losses (₹ cr)</t>
  </si>
  <si>
    <t>Credit cost % (reported)</t>
  </si>
  <si>
    <t>Credit cost % (calc, avg AUM)</t>
  </si>
  <si>
    <t>Write-offs (₹ cr)</t>
  </si>
  <si>
    <t>CRAR %</t>
  </si>
  <si>
    <t>Tier 1 %</t>
  </si>
  <si>
    <t>Leverage (x)</t>
  </si>
  <si>
    <t>Debt / Equity (x)</t>
  </si>
  <si>
    <t>NTI (₹ cr)</t>
  </si>
  <si>
    <t>PAT (₹ cr)</t>
  </si>
  <si>
    <t>ROA %</t>
  </si>
  <si>
    <t>ROE %</t>
  </si>
  <si>
    <t>Opex / NTI</t>
  </si>
  <si>
    <t>Loan losses / NTI</t>
  </si>
  <si>
    <t>Liquidity buffer (₹ cr)</t>
  </si>
  <si>
    <t>LCR</t>
  </si>
  <si>
    <t>Deposits % of borrowings</t>
  </si>
  <si>
    <t>ALM gap ≤1 month</t>
  </si>
  <si>
    <t>ALM gap ≤1 year</t>
  </si>
  <si>
    <t>Cost of funds</t>
  </si>
  <si>
    <t>FY2016-17</t>
  </si>
  <si>
    <t>Bajaj Finance</t>
  </si>
  <si>
    <t>FY2017-18</t>
  </si>
  <si>
    <t>FY2018-19</t>
  </si>
  <si>
    <t>FY2019-20</t>
  </si>
  <si>
    <t>FY2020-21</t>
  </si>
  <si>
    <t>FY2021-22</t>
  </si>
  <si>
    <t>FY2022-23</t>
  </si>
  <si>
    <t>FY2023-24</t>
  </si>
  <si>
    <t>FY2024-25</t>
  </si>
  <si>
    <t>FY2025-26</t>
  </si>
  <si>
    <t>Blank cell = not yet collected (yellow in the topic sheet). FY2016-17 is pre-Ind AS (no stage/ECL data). FY2019-20 is the pre-COVID base year.</t>
  </si>
  <si>
    <t>Formulas guide — every calculated column, what it does and why</t>
  </si>
  <si>
    <t>t = current year, t−1 = previous year. 'Excel formula' shows the actual formula in the FY2025-26 row (other years use the same formula shifted to their row).</t>
  </si>
  <si>
    <t>#</t>
  </si>
  <si>
    <t>Column</t>
  </si>
  <si>
    <t>Plain-English formula</t>
  </si>
  <si>
    <t>Why it is there</t>
  </si>
  <si>
    <t>Excel formula (FY2025-26 row)</t>
  </si>
  <si>
    <t>Cell</t>
  </si>
  <si>
    <t>AUM(t) ÷ AUM(t−1) − 1</t>
  </si>
  <si>
    <t>Loan growth: Graph 1 and the X-axis of the growth-vs-risk scatter.</t>
  </si>
  <si>
    <t>=B14/B13-1</t>
  </si>
  <si>
    <t>AUM!E14</t>
  </si>
  <si>
    <t>AUM added in year</t>
  </si>
  <si>
    <t>AUM(t) − AUM(t−1)</t>
  </si>
  <si>
    <t>Absolute expansion in ₹ crore, as the company reports it.</t>
  </si>
  <si>
    <t>=B14-B13</t>
  </si>
  <si>
    <t>AUM!F14</t>
  </si>
  <si>
    <t>Average AUM</t>
  </si>
  <si>
    <t>(AUM(t) + AUM(t−1)) ÷ 2</t>
  </si>
  <si>
    <t>Denominator for credit cost; avoids distortion from fast growth.</t>
  </si>
  <si>
    <t>=AVERAGE(B14,B13)</t>
  </si>
  <si>
    <t>AUM!G14</t>
  </si>
  <si>
    <t>Housing/other subs share of AUM</t>
  </si>
  <si>
    <t>1 − Standalone AUM ÷ Consolidated AUM</t>
  </si>
  <si>
    <t>Share of the book held in subsidiaries (mainly Bajaj Housing Finance).</t>
  </si>
  <si>
    <t>=IF(OR(C14=""),"",1-C14/B14)</t>
  </si>
  <si>
    <t>AUM!H14</t>
  </si>
  <si>
    <t>Share of AUM</t>
  </si>
  <si>
    <t>Segment AUM ÷ total AUM of that block</t>
  </si>
  <si>
    <t>Product-mix percentages for Graph 8.</t>
  </si>
  <si>
    <t>=D5/SUM($D$5:$D$9)</t>
  </si>
  <si>
    <t>Segment_AUM!E5</t>
  </si>
  <si>
    <t>Total (each block)</t>
  </si>
  <si>
    <t>SUM of segment AUM</t>
  </si>
  <si>
    <t>Check: equals reported total AUM every year.</t>
  </si>
  <si>
    <t>=SUM(D5:D9)</t>
  </si>
  <si>
    <t>Segment_AUM!D10</t>
  </si>
  <si>
    <t>Broad mix (5 buckets)</t>
  </si>
  <si>
    <t>Sum of segments in each group ÷ total</t>
  </si>
  <si>
    <t>Puts differently-named segments on one consistent basis across years.</t>
  </si>
  <si>
    <t>=(D109+D110+D111+D112)/(D109+D110+D111+D112+D113+D114+D115+D116+D117+D119+D118+D120+D121+D122)</t>
  </si>
  <si>
    <t>Segment_AUM!B136</t>
  </si>
  <si>
    <t>Mix total</t>
  </si>
  <si>
    <t>SUM of the 5 buckets</t>
  </si>
  <si>
    <t>Check: must equal 100%.</t>
  </si>
  <si>
    <t>=IF(COUNT(B136:F136)=5,SUM(B136:F136),"")</t>
  </si>
  <si>
    <t>Segment_AUM!G136</t>
  </si>
  <si>
    <t>PCR % (calc: 1 − Net/Gross NPA)</t>
  </si>
  <si>
    <t>1 − Net NPA ÷ Gross NPA</t>
  </si>
  <si>
    <t>Independent check of reported provision coverage.</t>
  </si>
  <si>
    <t>=IF(OR(D14="",E14=""),"",1-E14/D14)</t>
  </si>
  <si>
    <t>Asset_Quality!G14</t>
  </si>
  <si>
    <t>Change in GNPA (pp)</t>
  </si>
  <si>
    <t>GNPA %(t) − GNPA %(t−1)</t>
  </si>
  <si>
    <t>Whether asset quality improved or worsened each year.</t>
  </si>
  <si>
    <t>Asset_Quality!H14</t>
  </si>
  <si>
    <t>Total gross loans</t>
  </si>
  <si>
    <t>Stage 1 + Stage 2 + Stage 3</t>
  </si>
  <si>
    <t>Denominator for stage shares (only when all three exist).</t>
  </si>
  <si>
    <t>=IF(COUNT(B14:D14)&lt;3,"",SUM(B14:D14))</t>
  </si>
  <si>
    <t>Stage_ECL!H14</t>
  </si>
  <si>
    <t>Total ECL</t>
  </si>
  <si>
    <t>ECL S1 + ECL S2 + ECL S3</t>
  </si>
  <si>
    <t>Closing loss allowance — the ECL variable.</t>
  </si>
  <si>
    <t>=IF(COUNT(E14:G14)&lt;3,"",SUM(E14:G14))</t>
  </si>
  <si>
    <t>Stage_ECL!I14</t>
  </si>
  <si>
    <t>Stage 2 ÷ total loans</t>
  </si>
  <si>
    <t>Early-warning stress indicator.</t>
  </si>
  <si>
    <t>=IF(OR(H14=""),"",C14/H14)</t>
  </si>
  <si>
    <t>Stage_ECL!J14</t>
  </si>
  <si>
    <t>Stage 3 ÷ total loans</t>
  </si>
  <si>
    <t>Check: equals reported GNPA % (within ~0.1 pp).</t>
  </si>
  <si>
    <t>=IF(OR(H14=""),"",D14/H14)</t>
  </si>
  <si>
    <t>Stage_ECL!K14</t>
  </si>
  <si>
    <t>ECL cover on Stage 1+2</t>
  </si>
  <si>
    <t>(ECL S1 + ECL S2) ÷ (S1 + S2)</t>
  </si>
  <si>
    <t>Provisioning held on performing loans.</t>
  </si>
  <si>
    <t>=IF(OR(H14="",I14=""),"",(E14+F14)/(B14+C14))</t>
  </si>
  <si>
    <t>Stage_ECL!L14</t>
  </si>
  <si>
    <t>ECL cover on Stage 3</t>
  </si>
  <si>
    <t>ECL S3 ÷ Stage 3</t>
  </si>
  <si>
    <t>Same concept as PCR.</t>
  </si>
  <si>
    <t>=IF(OR(D14="",G14=""),"",G14/D14)</t>
  </si>
  <si>
    <t>Stage_ECL!M14</t>
  </si>
  <si>
    <t>Total ECL / loans</t>
  </si>
  <si>
    <t>Total ECL ÷ total loans</t>
  </si>
  <si>
    <t>Overall provisioning cushion.</t>
  </si>
  <si>
    <t>=IF(OR(H14="",I14=""),"",I14/H14)</t>
  </si>
  <si>
    <t>Stage_ECL!N14</t>
  </si>
  <si>
    <t>Loan losses excl. one-time</t>
  </si>
  <si>
    <t>Loan losses − one-time provisions</t>
  </si>
  <si>
    <t>Separates normal credit cost from COVID and other one-off provisions.</t>
  </si>
  <si>
    <t>=B14-N(E14)</t>
  </si>
  <si>
    <t>Credit_Losses!F14</t>
  </si>
  <si>
    <t>Credit cost % (calc: loss / avg AUM)</t>
  </si>
  <si>
    <t>Loan losses ÷ average AUM</t>
  </si>
  <si>
    <t>Your own credit-cost ratio (project plan formula); close to reported (avg AUF).</t>
  </si>
  <si>
    <t>=B14/AUM!G14</t>
  </si>
  <si>
    <t>Credit_Losses!G14</t>
  </si>
  <si>
    <t>Growth in loan losses %</t>
  </si>
  <si>
    <t>Loan losses(t) ÷ Loan losses(t−1) − 1</t>
  </si>
  <si>
    <t>Shows provision spikes (FY20, FY21, FY25).</t>
  </si>
  <si>
    <t>Credit_Losses!H14</t>
  </si>
  <si>
    <t>Tier 2 % (calc)</t>
  </si>
  <si>
    <t>CRAR − Tier 1</t>
  </si>
  <si>
    <t>Supplementary capital component.</t>
  </si>
  <si>
    <t>=B14-C14</t>
  </si>
  <si>
    <t>Capital!D14</t>
  </si>
  <si>
    <t>Borrowings ÷ Equity</t>
  </si>
  <si>
    <t>Leverage per project plan (where balance-sheet data exists).</t>
  </si>
  <si>
    <t>=IF(OR(H14="",G14=""),"",H14/G14)</t>
  </si>
  <si>
    <t>Capital!I14</t>
  </si>
  <si>
    <t>Assets / Equity (x, calc)</t>
  </si>
  <si>
    <t>Total assets ÷ Equity</t>
  </si>
  <si>
    <t>Checks the company's reported leverage ratio.</t>
  </si>
  <si>
    <t>=IF(OR(F14="",G14=""),"",F14/G14)</t>
  </si>
  <si>
    <t>Capital!J14</t>
  </si>
  <si>
    <t>Loan losses &amp; provisions</t>
  </si>
  <si>
    <t>Linked to Credit_Losses</t>
  </si>
  <si>
    <t>One source for each number.</t>
  </si>
  <si>
    <t>=Credit_Losses!B14</t>
  </si>
  <si>
    <t>Profitability!G14</t>
  </si>
  <si>
    <t>Opex / NTI (calc)</t>
  </si>
  <si>
    <t>Operating expenses ÷ Net total income</t>
  </si>
  <si>
    <t>Cost efficiency; matches reported (e.g., 32.8% FY26).</t>
  </si>
  <si>
    <t>=F14/D14</t>
  </si>
  <si>
    <t>Profitability!M14</t>
  </si>
  <si>
    <t>Loan losses / NTI (calc)</t>
  </si>
  <si>
    <t>Loan losses ÷ Net total income</t>
  </si>
  <si>
    <t>Key link: share of income consumed by credit losses.</t>
  </si>
  <si>
    <t>=G14/D14</t>
  </si>
  <si>
    <t>Profitability!N14</t>
  </si>
  <si>
    <t>Pre-provision op. profit (calc)</t>
  </si>
  <si>
    <t>NTI − Operating expenses</t>
  </si>
  <si>
    <t>Earning power before credit losses.</t>
  </si>
  <si>
    <t>=D14-F14</t>
  </si>
  <si>
    <t>Profitability!O14</t>
  </si>
  <si>
    <t>PAT growth %</t>
  </si>
  <si>
    <t>PAT(t) ÷ PAT(t−1) − 1</t>
  </si>
  <si>
    <t>Profit trend.</t>
  </si>
  <si>
    <t>=I14/I13-1</t>
  </si>
  <si>
    <t>Profitability!P14</t>
  </si>
  <si>
    <t>Liquidity buffer (FY25 only)</t>
  </si>
  <si>
    <t>2,156 × 71,400 ÷ 8,207</t>
  </si>
  <si>
    <t>Converts US$2,156 MM to ₹ using the same deck's implied rate (₹71,400 cr deposits = US$8,207 MM). Flagged estimate.</t>
  </si>
  <si>
    <t>=ROUND(2156*71400/8207,0)</t>
  </si>
  <si>
    <t>Liquidity!B13</t>
  </si>
  <si>
    <t>Linked to Profitability</t>
  </si>
  <si>
    <t>Kept beside other funding measures.</t>
  </si>
  <si>
    <t>=Profitability!L14</t>
  </si>
  <si>
    <t>Liquidity!N14</t>
  </si>
  <si>
    <t>Buffer / borrowings</t>
  </si>
  <si>
    <t>Liquidity buffer ÷ Consolidated borrowings</t>
  </si>
  <si>
    <t>Liquidity cushion relative to debt.</t>
  </si>
  <si>
    <t>=IF(OR(B14="",E14=""),"",B14/E14)</t>
  </si>
  <si>
    <t>Liquidity!O14</t>
  </si>
  <si>
    <t>Buffer / AUM</t>
  </si>
  <si>
    <t>Liquidity buffer ÷ AUM</t>
  </si>
  <si>
    <t>Cushion relative to the loan book.</t>
  </si>
  <si>
    <t>=IF(OR(B14=""),"",B14/AUM!B14)</t>
  </si>
  <si>
    <t>Liquidity!P14</t>
  </si>
  <si>
    <t>Mix total check</t>
  </si>
  <si>
    <t>SUM of the 6 borrowing sources</t>
  </si>
  <si>
    <t>=SUM(F14:K14)</t>
  </si>
  <si>
    <t>Liquidity!Q14</t>
  </si>
  <si>
    <t>Every column</t>
  </si>
  <si>
    <t>=IF(source cell="","",source cell)</t>
  </si>
  <si>
    <t>Pulls all variables into one table; keeps blanks blank (not 0) so missing years don't distort graphs or correlations.</t>
  </si>
  <si>
    <t>=IF(AUM!B14="","",AUM!B14)</t>
  </si>
  <si>
    <t>Master_Dataset!C14</t>
  </si>
  <si>
    <t>All sheets</t>
  </si>
  <si>
    <t>Blank guard</t>
  </si>
  <si>
    <t>IF(OR(input="", …), "", calculation)</t>
  </si>
  <si>
    <t>If an input is missing, the result stays blank instead of an error or misleading number.</t>
  </si>
  <si>
    <t>Completeness guard</t>
  </si>
  <si>
    <t>IF(COUNT(range)&lt;n, "", SUM(range))</t>
  </si>
  <si>
    <t>Totals (loans, ECL) calculate only when every component is present.</t>
  </si>
  <si>
    <t>Assets under management (₹ crore)</t>
  </si>
  <si>
    <t>Consolidated AUM is the headline figure. Standalone = Bajaj Finance Ltd alone (excludes housing subsidiary).</t>
  </si>
  <si>
    <t>Consolidated AUM</t>
  </si>
  <si>
    <t>Standalone AUM</t>
  </si>
  <si>
    <t>Assets under finance (AUF)</t>
  </si>
  <si>
    <t>Source</t>
  </si>
  <si>
    <t>FY26 deck sl.35 (IGAAP, standalone basis)</t>
  </si>
  <si>
    <t>FY26 deck sl.35; FY20 AR p.12, 248</t>
  </si>
  <si>
    <t>FY20 AR p.12-13, 248</t>
  </si>
  <si>
    <t>FY20 AR p.13, 247</t>
  </si>
  <si>
    <t>FY21 AR p.13, 20, 259</t>
  </si>
  <si>
    <t>FY22 AR p.19, 26, 315</t>
  </si>
  <si>
    <t>FY24 deck sl.38-39</t>
  </si>
  <si>
    <t>FY26 deck sl.44-46</t>
  </si>
  <si>
    <t>FY20–FY22 AUF = gross term loans from Note 9 (Loans). FY22 standalone AUM: MD&amp;A of FY22 annual report (not yet collected).</t>
  </si>
  <si>
    <t>Segment-wise consolidated AUM and segment GNPA (₹ crore)</t>
  </si>
  <si>
    <t>Bajaj re-named its segments over time, so each classification is a separate block. Compare within a block; use the broad mix at the bottom for a long view.</t>
  </si>
  <si>
    <t>Block</t>
  </si>
  <si>
    <t>As of</t>
  </si>
  <si>
    <t>Segment</t>
  </si>
  <si>
    <t>Segment GNPA %</t>
  </si>
  <si>
    <t>Secured / Unsecured</t>
  </si>
  <si>
    <t>Risk tier (your view)</t>
  </si>
  <si>
    <t>Why</t>
  </si>
  <si>
    <t>0: FY18 deck (IGAAP, 5 buckets; mortgages inside)</t>
  </si>
  <si>
    <t>31-Mar-2017</t>
  </si>
  <si>
    <t>Consumer B2B</t>
  </si>
  <si>
    <t>Mostly unsecured / 2W</t>
  </si>
  <si>
    <t>Medium–High</t>
  </si>
  <si>
    <t>Consumer durable EMI and 2W/3W loans</t>
  </si>
  <si>
    <t>Q4FY18 deck p.15</t>
  </si>
  <si>
    <t>Consumer B2C</t>
  </si>
  <si>
    <t>Unsecured</t>
  </si>
  <si>
    <t>High</t>
  </si>
  <si>
    <t>Personal loans</t>
  </si>
  <si>
    <t>SME</t>
  </si>
  <si>
    <t>Mostly unsecured (incl. LAP)</t>
  </si>
  <si>
    <t>Unsecured business loans; LAP inside</t>
  </si>
  <si>
    <t>Commercial</t>
  </si>
  <si>
    <t>Secured / corporate</t>
  </si>
  <si>
    <t>Low</t>
  </si>
  <si>
    <t>Corporate and securities lending</t>
  </si>
  <si>
    <t>Rural</t>
  </si>
  <si>
    <t>Mostly unsecured</t>
  </si>
  <si>
    <t>Rural consumer and personal loans</t>
  </si>
  <si>
    <t>Total</t>
  </si>
  <si>
    <t>31-Mar-2018</t>
  </si>
  <si>
    <t>Q4FY18 deck p.15, 26</t>
  </si>
  <si>
    <t>A: FY20–FY22 AR classification</t>
  </si>
  <si>
    <t>31-Mar-2019</t>
  </si>
  <si>
    <t>Consumer B2B – auto finance (2W/3W)</t>
  </si>
  <si>
    <t>Secured (vehicle)</t>
  </si>
  <si>
    <t>2W/3W loans to lower-income borrowers; depreciating collateral</t>
  </si>
  <si>
    <t>FY20 AR p.13</t>
  </si>
  <si>
    <t>Consumer B2B – sales finance</t>
  </si>
  <si>
    <t>Medium</t>
  </si>
  <si>
    <t>Short-tenor consumer-durable EMI loans</t>
  </si>
  <si>
    <t>Consumer B2C (personal loans)</t>
  </si>
  <si>
    <t>Unsecured personal loans</t>
  </si>
  <si>
    <t>SME business</t>
  </si>
  <si>
    <t>Unsecured working-capital loans to small businesses</t>
  </si>
  <si>
    <t>Rural B2B – sales finance</t>
  </si>
  <si>
    <t>Short-tenor consumer-durable loans, rural</t>
  </si>
  <si>
    <t>Rural B2C</t>
  </si>
  <si>
    <t>Unsecured rural personal/business loans</t>
  </si>
  <si>
    <t>Commercial Lending</t>
  </si>
  <si>
    <t>Mid-corporate lending; GNPA &lt;0.3%</t>
  </si>
  <si>
    <t>Loans against securities</t>
  </si>
  <si>
    <t>Secured (securities)</t>
  </si>
  <si>
    <t>Marked-to-market collateral</t>
  </si>
  <si>
    <t>IPO financing</t>
  </si>
  <si>
    <t>Very short-tenor; balance at year-end only</t>
  </si>
  <si>
    <t>Mortgages</t>
  </si>
  <si>
    <t>Secured (property)</t>
  </si>
  <si>
    <t>Home loans, LAP, LRD; GNPA ~0.5%</t>
  </si>
  <si>
    <t>31-Mar-2020</t>
  </si>
  <si>
    <t>31-Mar-2021</t>
  </si>
  <si>
    <t>FY21 AR p.20</t>
  </si>
  <si>
    <t>31-Mar-2022</t>
  </si>
  <si>
    <t>FY22 AR p.26</t>
  </si>
  <si>
    <t>B: FY23–FY24 classification</t>
  </si>
  <si>
    <t>31-Mar-2023</t>
  </si>
  <si>
    <t>Two &amp; Three-wheeler Finance</t>
  </si>
  <si>
    <t>Highest GNPA in book (3–5%)</t>
  </si>
  <si>
    <t>FY24 deck sl.55, 58</t>
  </si>
  <si>
    <t>Urban Sales Finance</t>
  </si>
  <si>
    <t>Short-tenor consumer-durable EMI; low GNPA</t>
  </si>
  <si>
    <t>Urban B2C</t>
  </si>
  <si>
    <t>Personal loans — sensitive to borrower over-leverage</t>
  </si>
  <si>
    <t>Rural Sales Finance</t>
  </si>
  <si>
    <t>Short-tenor rural consumer-durable loans</t>
  </si>
  <si>
    <t>Rural B2C (excluding Gold Loans)</t>
  </si>
  <si>
    <t>Stress flagged in FY24; growth cut sharply</t>
  </si>
  <si>
    <t>Gold Loans</t>
  </si>
  <si>
    <t>Secured (gold)</t>
  </si>
  <si>
    <t>Liquid collateral</t>
  </si>
  <si>
    <t>SME lending (excluding Car Loans)</t>
  </si>
  <si>
    <t>Unsecured working-capital loans</t>
  </si>
  <si>
    <t>Car Loans</t>
  </si>
  <si>
    <t>Vehicle collateral; GNPA ~0.7–1.3%</t>
  </si>
  <si>
    <t>Loan Against Securities</t>
  </si>
  <si>
    <t>GNPA ~0%</t>
  </si>
  <si>
    <t>31-Mar-2024</t>
  </si>
  <si>
    <t>C: FY25–FY26 classification</t>
  </si>
  <si>
    <t>31-Mar-2025</t>
  </si>
  <si>
    <t>Captive 2W &amp; 3W Finance</t>
  </si>
  <si>
    <t>GNPA 14% by Mar-26; book being run down</t>
  </si>
  <si>
    <t>FY26 deck sl.63, 66</t>
  </si>
  <si>
    <t>Open Market 2W &amp; 3W Finance</t>
  </si>
  <si>
    <t>GNPA 1.3–1.6%</t>
  </si>
  <si>
    <t>Urban B2C Loans</t>
  </si>
  <si>
    <t>Rural B2C Loans</t>
  </si>
  <si>
    <t>Unsecured rural loans</t>
  </si>
  <si>
    <t>MFI Lending</t>
  </si>
  <si>
    <t>Microfinance; sector stress in FY25</t>
  </si>
  <si>
    <t>MSME Lending</t>
  </si>
  <si>
    <t>GNPA up to 2.65% by Mar-26; volumes cut</t>
  </si>
  <si>
    <t>CV &amp; Tractor Finance</t>
  </si>
  <si>
    <t>Rural/agri cash flows; unseasoned book</t>
  </si>
  <si>
    <t>31-Mar-2026</t>
  </si>
  <si>
    <t>Block 0 (FY17–FY18) is IGAAP; its total for Mar-2018 (₹84,033 cr) differs from the Ind AS restated AUM (₹82,422 cr). Mortgages (₹18,861 cr / ₹23,818 cr) sit inside these buckets. Mar-18 segment GNPA: Consumer (B2B+B2C) 2.09%, SME 1.31%, Rural 1.17%, Commercial ~0.02%. Segment GNPA otherwise disclosed only from FY23.</t>
  </si>
  <si>
    <t>Broad lending mix FY19–FY26 (FY17–FY18 not comparable: mortgages not separated) — Urban/Consumer : Rural : SME/MSME (incl. car, CV &amp; tractor) : Commercial (incl. LAS) : Mortgages — matches the company's own split</t>
  </si>
  <si>
    <t>Urban / Consumer</t>
  </si>
  <si>
    <t>SME / MSME</t>
  </si>
  <si>
    <t>Commercial (incl. LAS)</t>
  </si>
  <si>
    <t>Calculated from block A</t>
  </si>
  <si>
    <t>Calculated from block B</t>
  </si>
  <si>
    <t>Calculated from block B (company: 33:9:14:13:31)</t>
  </si>
  <si>
    <t>Calculated from block C</t>
  </si>
  <si>
    <t>Calculated from block C (company: 30:11:14:13:32)</t>
  </si>
  <si>
    <t>Asset quality — NPAs and provision coverage</t>
  </si>
  <si>
    <t>Gross NPA ₹ = Stage 3 gross loans; Net NPA ₹ = Stage 3 less Stage 3 ECL. Ratios as reported by the company.</t>
  </si>
  <si>
    <t>GNPA % (reported)</t>
  </si>
  <si>
    <t>NNPA % (reported)</t>
  </si>
  <si>
    <t>Gross NPA ₹ (Stage 3)</t>
  </si>
  <si>
    <t>PCR on Stage 3 % (reported)</t>
  </si>
  <si>
    <t>Q4FY18 deck p.11 (IGAAP, 4-months overdue)</t>
  </si>
  <si>
    <t>Q3FY19 deck sl.45; FY20 AR p.248</t>
  </si>
  <si>
    <t>FY20 AR p.28, 247</t>
  </si>
  <si>
    <t>FY20 AR p.28, p.247</t>
  </si>
  <si>
    <t>FY21 AR p.21, 259</t>
  </si>
  <si>
    <t>FY22 AR p.28, 315</t>
  </si>
  <si>
    <t>FY24 deck sl.58-59</t>
  </si>
  <si>
    <t>FY26 deck sl.66-67</t>
  </si>
  <si>
    <t>Gross NPA ₹ = Stage 3 gross and Net NPA ₹ = Stage 3 net carrying amount, from Note 9 (Loans) / company decks.</t>
  </si>
  <si>
    <t>Stage-wise loans and expected credit loss (ECL) allowance (₹ crore)</t>
  </si>
  <si>
    <t>Stage 1 = performing; Stage 2 = significant increase in credit risk (31–90 dpd); Stage 3 = credit-impaired (NPA).</t>
  </si>
  <si>
    <t>Stage 1 gross</t>
  </si>
  <si>
    <t>Stage 2 gross</t>
  </si>
  <si>
    <t>Stage 3 gross</t>
  </si>
  <si>
    <t>ECL Stage 1</t>
  </si>
  <si>
    <t>ECL Stage 2</t>
  </si>
  <si>
    <t>ECL Stage 3</t>
  </si>
  <si>
    <t>Pre-Ind AS: no stages</t>
  </si>
  <si>
    <t>FY20 AR p.248 (opening balance)</t>
  </si>
  <si>
    <t>FY20 AR p.247-248</t>
  </si>
  <si>
    <t>FY20 AR p.247 (Note 9)</t>
  </si>
  <si>
    <t>FY21 AR p.259 (Note 9)</t>
  </si>
  <si>
    <t>FY22 AR p.315 (Note 9)</t>
  </si>
  <si>
    <t>FY24 deck sl.59</t>
  </si>
  <si>
    <t>FY26 deck sl.67</t>
  </si>
  <si>
    <t>FY20–FY22 from 'Summary of loans by stage distribution', Note 9, consolidated financial statements. FY21 Stage 2 jump reflects COVID-19 stress and restructuring.</t>
  </si>
  <si>
    <t>Credit losses — loan-loss provisions, credit cost and write-offs (₹ crore)</t>
  </si>
  <si>
    <t>Original presentation basis (before FY26 reclassification of recoveries). Restated: FY25 ₹7,088 cr / 1.93%; FY26 ₹9,482 cr / 2.09%.</t>
  </si>
  <si>
    <t>Loan losses &amp; provisions (impairment)</t>
  </si>
  <si>
    <t>Credit cost % (reported: loss / avg AUF)</t>
  </si>
  <si>
    <t>Write-offs</t>
  </si>
  <si>
    <t>One-time / overlay provisions in year</t>
  </si>
  <si>
    <t>FY26 deck sl.35</t>
  </si>
  <si>
    <t>FY20 AR p.28, 248-249</t>
  </si>
  <si>
    <t>FY20 AR p.11, 248-249</t>
  </si>
  <si>
    <t>FY21 AR p.13, 260-261</t>
  </si>
  <si>
    <t>FY22 AR p.19, 315-316</t>
  </si>
  <si>
    <t>FY24 deck sl.14, 38</t>
  </si>
  <si>
    <t>FY26 deck sl.21, 35</t>
  </si>
  <si>
    <t>FY26 deck sl.21-23, 35</t>
  </si>
  <si>
    <t>One-time items: FY20 ₹900 cr COVID-19 contingency; FY25 ₹359 cr additional ECL (Q4); FY26 ₹1,406 cr accelerated ECL (Q3) + ₹142 cr overlay (Q4).</t>
  </si>
  <si>
    <t>FY21–FY24 overlay movements (e.g., ₹1,060 cr overlay held Mar-22; ₹533 cr released in FY24) are noted in Risk_Notes — fill 'One-time' only if you want to adjust those years too.</t>
  </si>
  <si>
    <t>FY21 write-offs include an accelerated charge-off of ~₹4,193 cr under an advanced write-off policy (FY21 AR p.13). Write-offs FY23–FY26: ECL movement table, Note on Loans, each annual report (optional).</t>
  </si>
  <si>
    <t>Capital adequacy and leverage</t>
  </si>
  <si>
    <t>CRAR / Tier 1 / Tier 2 are STANDALONE (regulatory). Leverage = total assets ÷ equity, consolidated, as reported by the company.</t>
  </si>
  <si>
    <t>Leverage (x, reported)</t>
  </si>
  <si>
    <t>Total assets</t>
  </si>
  <si>
    <t>Shareholders' equity</t>
  </si>
  <si>
    <t>Borrowings (debt + deposits + sub-debt)</t>
  </si>
  <si>
    <t>FY26 deck sl.35, 51</t>
  </si>
  <si>
    <t>Q4FY18 deck p.11; FY26 deck sl.51</t>
  </si>
  <si>
    <t>FY20 AR p.28, 224-225</t>
  </si>
  <si>
    <t>FY20 AR p.11, 27, 224-225</t>
  </si>
  <si>
    <t>FY21 AR p.13, 21</t>
  </si>
  <si>
    <t>FY22 AR p.19, 28</t>
  </si>
  <si>
    <t>FY23 AR highlights; FY26 deck sl.51</t>
  </si>
  <si>
    <t>FY24 deck sl.8</t>
  </si>
  <si>
    <t>FY26 deck sl.8, 35</t>
  </si>
  <si>
    <t>Missing (yellow): total assets, equity and borrowings FY21–FY26 → consolidated balance sheet in each annual report (borrowings = debt securities + other borrowings + deposits + subordinated debt).</t>
  </si>
  <si>
    <t>Until filled, use the reported leverage ratio as your leverage variable — it is available for all years.</t>
  </si>
  <si>
    <t>Profitability (₹ crore)</t>
  </si>
  <si>
    <t>From the company's consolidated multi-year snapshot. Net total income (NTI) = total income − interest expense. FY26 ROA/ROE are after one-time items (before: 4.6% / 19.2%).</t>
  </si>
  <si>
    <t>Total income</t>
  </si>
  <si>
    <t>Interest expenses</t>
  </si>
  <si>
    <t>Net total income (NTI)</t>
  </si>
  <si>
    <t>Net interest income (NII)</t>
  </si>
  <si>
    <t>Operating expenses</t>
  </si>
  <si>
    <t>Profit before tax</t>
  </si>
  <si>
    <t>Profit after tax</t>
  </si>
  <si>
    <t>ROA % (reported)</t>
  </si>
  <si>
    <t>ROE % (reported)</t>
  </si>
  <si>
    <t>Cost of funds %</t>
  </si>
  <si>
    <t>FY26 deck sl.35, 52</t>
  </si>
  <si>
    <t>FY20 AR p.28; FY26 deck sl.35</t>
  </si>
  <si>
    <t>FY21 AR p.20-21; FY26 deck sl.35</t>
  </si>
  <si>
    <t>FY22 AR p.28; FY26 deck sl.35</t>
  </si>
  <si>
    <t>FY26 deck sl.35, 44</t>
  </si>
  <si>
    <t>NII FY20–FY22: consolidated P&amp;L in each annual report (interest income − finance costs). Cost of funds from FY26 deck sl.52 (FY26: sl.22).</t>
  </si>
  <si>
    <t>Liquidity and funding (₹ crore)</t>
  </si>
  <si>
    <t>Buffer, deposits and borrowing mix are consolidated; LCR and ALM gaps are Bajaj Finance standalone (regulatory). ALM gap = cumulative inflows − outflows as % of outflows (positive = surplus; RBI limits: −10% up to 14 days, −20% up to 1 month).</t>
  </si>
  <si>
    <t>Liquidity buffer</t>
  </si>
  <si>
    <t>Liquidity coverage ratio (LCR)</t>
  </si>
  <si>
    <t>Deposits book</t>
  </si>
  <si>
    <t>Consolidated borrowings</t>
  </si>
  <si>
    <t>Mix: Deposits</t>
  </si>
  <si>
    <t>Mix: Bank loans</t>
  </si>
  <si>
    <t>Mix: NCDs</t>
  </si>
  <si>
    <t>Mix: Sub-debt</t>
  </si>
  <si>
    <t>Mix: Short-term (CP etc.)</t>
  </si>
  <si>
    <t>Mix: ECB</t>
  </si>
  <si>
    <t>ALM gap up to 1 month</t>
  </si>
  <si>
    <t>ALM gap up to 1 year</t>
  </si>
  <si>
    <t>FY26 deck sl.55-56</t>
  </si>
  <si>
    <t>FY20 AR p.184 (deposits), p.224 (borrowings); FY26 deck sl.55-56</t>
  </si>
  <si>
    <t>FY20 AR p.64, 294; FY26 deck sl.55-56</t>
  </si>
  <si>
    <t>FY21 AR p.13, 30, 310; Q4 FY21 update; FY26 deck</t>
  </si>
  <si>
    <t>Q4FY22 deck sl.5-6, 38; FY26 deck</t>
  </si>
  <si>
    <t>5paisa (Q4 FY23 results); FY26 deck</t>
  </si>
  <si>
    <t>FY24 deck sl.6, 45; FY26 deck</t>
  </si>
  <si>
    <t>Q4FY25 deck sl.7, 34, 52; BS (Q4 FY25 update)</t>
  </si>
  <si>
    <t>FY26 deck sl.6, 53, 55-56</t>
  </si>
  <si>
    <t>LCR: Q4 daily average for FY24–FY26; 31-March point value for FY21 (270%) and FY22 (134%). LCR rules started Dec-2020 (grey before). RBI minimum rose from 50% (2020) to 100% (Dec-2024).</t>
  </si>
  <si>
    <t>FY25 liquidity buffer is an ESTIMATE: the deck gives US$2,156 MM; converted at the deck's implied rate (₹71,400 cr deposits = US$8,207 MM).</t>
  </si>
  <si>
    <t>Borrowing mix and ALM gaps for FY17–FY26 read from the FY26 deck charts (sl.55-56); they match the year-end tables in the FY24/FY26 decks.</t>
  </si>
  <si>
    <t>Missing (yellow): buffer FY17–FY19, deposits FY17–FY18, LCR FY23, consolidated borrowings FY22–FY26 (consolidated balance sheet in each annual report).</t>
  </si>
  <si>
    <t>Risk management and key credit events (paraphrased)</t>
  </si>
  <si>
    <t>FY</t>
  </si>
  <si>
    <t>Theme</t>
  </si>
  <si>
    <t>What happened</t>
  </si>
  <si>
    <t>Why it matters</t>
  </si>
  <si>
    <t>All years</t>
  </si>
  <si>
    <t>Risk appetite</t>
  </si>
  <si>
    <t>Long-term guidance: GNPA &lt;1.4%, NNPA &lt;0.5%, ROA 4.3–4.7%, ROE 19–21%.</t>
  </si>
  <si>
    <t>Benchmark for whether asset quality stayed within stated appetite.</t>
  </si>
  <si>
    <t>FY26 deck sl.32</t>
  </si>
  <si>
    <t>NPA norm tightening</t>
  </si>
  <si>
    <t>RBI moved NBFC NPA recognition to 4 months overdue (from 5); GNPA 1.68%, NNPA 0.44%, PCR 74%.</t>
  </si>
  <si>
    <t>Start of the regulatory tightening path.</t>
  </si>
  <si>
    <t>Q4FY18 deck p.11; FY26 deck sl.35</t>
  </si>
  <si>
    <t>NPA recognition moved to 3 months overdue; a 0.40% general provision on standard assets (0.50% for LAP/LRD/developer finance) under IGAAP. AUM grew 40% (IGAAP).</t>
  </si>
  <si>
    <t>Comparability break in NPA ratios.</t>
  </si>
  <si>
    <t>Q4FY18 deck p.11, 33</t>
  </si>
  <si>
    <t>Ind AS / ECL adoption</t>
  </si>
  <si>
    <t>Moved to Ind AS expected-credit-loss provisioning; Stage 3 coverage settled at ~60% (from 70–75% under IGAAP). AUM grew 41%.</t>
  </si>
  <si>
    <t>Explains PCR step-down; start of stage-wise data.</t>
  </si>
  <si>
    <t>Q3FY19 deck sl.45-46; FY26 deck sl.35</t>
  </si>
  <si>
    <t>Liquidity stress</t>
  </si>
  <si>
    <t>Default by a systemically important NBFC in Sept 2018 tightened funding for the sector; BFL kept a long-dated borrowing mix.</t>
  </si>
  <si>
    <t>Funding-side risk context for NBFCs.</t>
  </si>
  <si>
    <t>FY20 AR p.10, 12</t>
  </si>
  <si>
    <t>Risk framework</t>
  </si>
  <si>
    <t>Dedicated credit-risk units per business; underwriting, risk-containment and fraud-control units; 'acquire and cross-sell' since existing customers carry lower risk.</t>
  </si>
  <si>
    <t>Evidence of underwriting policy.</t>
  </si>
  <si>
    <t>FY20 AR p.18</t>
  </si>
  <si>
    <t>COVID-19 provisioning</t>
  </si>
  <si>
    <t>₹900 cr contingency provision after moratorium and delayed-payment trends in April 2020; total management overlay ₹921 cr.</t>
  </si>
  <si>
    <t>Explains credit cost jump 1.55% → 3.10%.</t>
  </si>
  <si>
    <t>FY20 AR p.11, 302</t>
  </si>
  <si>
    <t>Growth control</t>
  </si>
  <si>
    <t>Lowered AUM growth across all four quarters; re-pivoted mix to lower-risk mortgages.</t>
  </si>
  <si>
    <t>Risk-led growth management.</t>
  </si>
  <si>
    <t>COVID shock</t>
  </si>
  <si>
    <t>AUM growth fell to 4%; impairment rose 52% to ₹5,969 cr; credit cost peaked at 4.14%; ROE fell to 12.8%.</t>
  </si>
  <si>
    <t>Peak of the credit cycle in the dataset.</t>
  </si>
  <si>
    <t>Write-off policy</t>
  </si>
  <si>
    <t>Advanced its write-off policy and took an accelerated charge-off of ~₹4,193 cr using existing provisions; management overlay ₹840 cr at Mar-21.</t>
  </si>
  <si>
    <t>Explains record write-offs (₹5,554 cr).</t>
  </si>
  <si>
    <t>FY21 AR p.13</t>
  </si>
  <si>
    <t>Collections</t>
  </si>
  <si>
    <t>Offered moratorium and resolution plans; set up 10 dedicated collection branches; trained ~6,700 recovery agents; strengthened digital overdue payment channels.</t>
  </si>
  <si>
    <t>Collection-practice evidence.</t>
  </si>
  <si>
    <t>Underwriting</t>
  </si>
  <si>
    <t>Calibrated customer acquisition to economic trends, accepting lower AUM growth in H1; continued re-pivot to mortgages and 'acquire and cross-sell'.</t>
  </si>
  <si>
    <t>Underwriting-policy evidence.</t>
  </si>
  <si>
    <t>FY21 AR p.25</t>
  </si>
  <si>
    <t>Underwriting normalised</t>
  </si>
  <si>
    <t>Gradually relaxed the tighter first-wave norms and restored pre-COVID underwriting by H2; third wave had no visible impact on risk metrics.</t>
  </si>
  <si>
    <t>Shows risk appetite returning.</t>
  </si>
  <si>
    <t>FY22 AR p.29-32</t>
  </si>
  <si>
    <t>Centralised call monitoring, dedicated service desks, agent certification, penalty-based compliance for agencies; ~51% of collections via digital/branch channels.</t>
  </si>
  <si>
    <t>FY22 AR p.31-32</t>
  </si>
  <si>
    <t>Overlay &amp; regulation</t>
  </si>
  <si>
    <t>Overlay raised to ₹1,060 cr (from ₹840 cr); ₹5,266 cr of loans under CGS-II guarantee. RBI moved NPA recognition to strict 91 dpd from Dec-21.</t>
  </si>
  <si>
    <t>High PCR; NPA comparability break.</t>
  </si>
  <si>
    <t>FY22 AR p.29-33</t>
  </si>
  <si>
    <t>Asset quality low</t>
  </si>
  <si>
    <t>GNPA fell to 0.94%, the lowest ever; credit cost 1.47%.</t>
  </si>
  <si>
    <t>Low point of the credit cycle.</t>
  </si>
  <si>
    <t>FY24 deck sl.7</t>
  </si>
  <si>
    <t>Segment stress</t>
  </si>
  <si>
    <t>Elevated Rural B2C loan losses; Rural B2C (ex-gold) growth cut from 25% to 6%.</t>
  </si>
  <si>
    <t>Underwriting response to stress.</t>
  </si>
  <si>
    <t>Regulatory action</t>
  </si>
  <si>
    <t>RBI restricted 'eCOM' and 'Insta EMI Card' lending; ~1.2 MM fewer loans in FY24.</t>
  </si>
  <si>
    <t>Conduct/regulatory risk.</t>
  </si>
  <si>
    <t>FY24 deck sl.6</t>
  </si>
  <si>
    <t>Overlay release</t>
  </si>
  <si>
    <t>Released ₹533 cr of overlay into loan losses during the year; overlay held ₹300 cr at Mar-24.</t>
  </si>
  <si>
    <t>Flatters FY24 credit cost (1.82% excl. release).</t>
  </si>
  <si>
    <t>FY24 deck sl.14</t>
  </si>
  <si>
    <t>Credit cost spike</t>
  </si>
  <si>
    <t>Loan losses rose to ₹7,966 cr from ₹4,631 cr; included ₹359 cr extra ECL in Q4.</t>
  </si>
  <si>
    <t>Core credit risk → provisions → profit evidence.</t>
  </si>
  <si>
    <t>MSME stress</t>
  </si>
  <si>
    <t>Higher MSME delinquencies; MSME growth slowed to 6%; segment GNPA 1.52% → 2.65%.</t>
  </si>
  <si>
    <t>Strong case study.</t>
  </si>
  <si>
    <t>FY26 deck sl.27, 66</t>
  </si>
  <si>
    <t>Run-down</t>
  </si>
  <si>
    <t>Captive 2W/3W book cut 60% (GNPA ~14%); now &lt;1% of AUM.</t>
  </si>
  <si>
    <t>Exit from highest-risk segment.</t>
  </si>
  <si>
    <t>Balance-sheet resilience</t>
  </si>
  <si>
    <t>₹1,406 cr accelerated ECL (Q3) and ₹142 cr overlay (Q4); Stage 3 PCR rose to 60% from 54%.</t>
  </si>
  <si>
    <t>Higher provisioning cushion.</t>
  </si>
  <si>
    <t>FY26 deck sl.8, 21</t>
  </si>
  <si>
    <t>Accounting change</t>
  </si>
  <si>
    <t>Recoveries on written-off loans moved into loan losses for all periods.</t>
  </si>
  <si>
    <t>Use one consistent basis.</t>
  </si>
  <si>
    <t>FY26 deck sl.21</t>
  </si>
  <si>
    <t>Outlook</t>
  </si>
  <si>
    <t>FY27 credit cost guided at 1.45–1.60% of avg AUF.</t>
  </si>
  <si>
    <t>For recommendations.</t>
  </si>
  <si>
    <t>FY26 deck sl.28</t>
  </si>
  <si>
    <t>Sources and remaining gaps</t>
  </si>
  <si>
    <t>Short name</t>
  </si>
  <si>
    <t>Document</t>
  </si>
  <si>
    <t>Link</t>
  </si>
  <si>
    <t>FY20 AR</t>
  </si>
  <si>
    <t>Bajaj Finance 33rd Annual Report 2019-20 (printed page numbers)</t>
  </si>
  <si>
    <t>https://www.bseindia.com/bseplus/AnnualReport/500034/5000340320.pdf</t>
  </si>
  <si>
    <t>FY18 deck</t>
  </si>
  <si>
    <t>Q4 FY18 Investor Presentation, 17 May 2018 (IGAAP; FY17–FY18 AUM, NPA, CRAR)</t>
  </si>
  <si>
    <t>https://bsmedia.business-standard.com/_media/bs/data/announcements/bse/17052018/8486d97e-ab2b-4c8c-98be-b5929ca60a3c.pdf</t>
  </si>
  <si>
    <t>Q3FY19 deck</t>
  </si>
  <si>
    <t>Q3 FY19 Investor Presentation (Ind AS restated Mar-2018 NPA, stages, PCR)</t>
  </si>
  <si>
    <t>https://bseindia.com/xml-data/corpfiling/AttachHis/11bc5b36-29ed-4a89-a6eb-41bd0aba5a43.pdf</t>
  </si>
  <si>
    <t>FY18 / FY19 AR</t>
  </si>
  <si>
    <t>31st / 32nd Annual Reports (BSE) — for deeper checks</t>
  </si>
  <si>
    <t>https://www.bseindia.com/bseplus/AnnualReport/500034/5000340318.pdf</t>
  </si>
  <si>
    <t>FY21 AR</t>
  </si>
  <si>
    <t>34th Annual Report 2020-21 (printed pages: p.13 highlights, p.20 AUM table, p.21 key ratios, p.25 risk, p.259-261 Note 9 Loans)</t>
  </si>
  <si>
    <t>https://cms-assets.bajajfinserv.in/is/content/bajajfinance/bajaj-finance-limited-annual-report-fy2021-newpdf?scl=1&amp;fmt=pdf</t>
  </si>
  <si>
    <t>FY22 AR</t>
  </si>
  <si>
    <t>35th Annual Report 2021-22 — MD&amp;A (p.19 highlights, p.26 AUM table, p.28 key ratios, p.28-33 risk)</t>
  </si>
  <si>
    <t>https://www.bajajfinserv.in/finance-digital-annual-report-fy22/finance-digital-annual-report-assets/pdf/BFL-Management-Discussion-and-Analysis.pdf</t>
  </si>
  <si>
    <t>FY22 AR notes</t>
  </si>
  <si>
    <t>35th Annual Report 2021-22 — Notes to consolidated FS (p.315-316, Note 9 Loans)</t>
  </si>
  <si>
    <t>https://www.bajajfinserv.in/finance-digital-annual-report-fy22/finance-digital-annual-report-assets/pdf/BFL%20Notes%20to%20Consolidated%20Finanacial%20Statement.pdf</t>
  </si>
  <si>
    <t>FY23 AR</t>
  </si>
  <si>
    <t>36th Annual Report 2022-23</t>
  </si>
  <si>
    <t>https://www.bajajfinserv.in/finance-digital-annual-report-fy23/assets/pdf/bajaj-finance-limited-ar-2022-23.pdf</t>
  </si>
  <si>
    <t>FY24 AR</t>
  </si>
  <si>
    <t>37th Annual Report 2023-24</t>
  </si>
  <si>
    <t>https://www.bajajfinserv.in/finance-digital-annual-report-fy24/bajaj-finance-ltd-ar-2023-24-assets/pdf/annual-report-fy2024.pdf</t>
  </si>
  <si>
    <t>FY25 AR</t>
  </si>
  <si>
    <t>38th Annual Report 2024-25</t>
  </si>
  <si>
    <t>https://www.bajajfinserv.in/finance-digital-annual-report-fy25/bajaj-finance-ltd-ar-2024-25-assets/pdf/annual-report-fy2025.pdf</t>
  </si>
  <si>
    <t>FY26 AR</t>
  </si>
  <si>
    <t>39th Annual Report 2025-26</t>
  </si>
  <si>
    <t>https://www.bajajfinserv.in/finance-digital-annual-report-fy26/bajaj-finance-ltd-ar-2025-26-assets/pdf/bajaj-finance-AR-2025-26.pdf</t>
  </si>
  <si>
    <t>Q4FY25 deck</t>
  </si>
  <si>
    <t>Q4 FY25 Investor Presentation, 29 Apr 2025 (liquidity, LCR, ALM, borrowing mix)</t>
  </si>
  <si>
    <t>https://cms-assets.bajajfinserv.in/is/content/bajajfinance/bajaj-finance-q4-fy25-international-investor-Presentationpdf?scl=1&amp;fmt=pdf</t>
  </si>
  <si>
    <t>Q4FY22 deck</t>
  </si>
  <si>
    <t>Q4 FY22 Investor Presentation, 26 Apr 2022 (liquidity buffer, deposits, LCR, ALM)</t>
  </si>
  <si>
    <t>https://nsearchives.nseindia.com/corporate/BAJFINANCE_26042022182813_Investorpresentation.pdf</t>
  </si>
  <si>
    <t>Q4 FY21 update</t>
  </si>
  <si>
    <t>Q4 FY21 business update, 5 Apr 2021 (deposits, liquidity surplus)</t>
  </si>
  <si>
    <t>https://bseindia.com/xml-data/corpfiling/AttachHis/673c4d50-29ce-42d6-baf5-c10e0486b42e.pdf</t>
  </si>
  <si>
    <t>5paisa</t>
  </si>
  <si>
    <t>Q4 FY23 results summary (liquidity buffer ₹11,852 cr, deposits)</t>
  </si>
  <si>
    <t>https://5paisa.com/news/bajaj-finance-q4-results-fy2023</t>
  </si>
  <si>
    <t>BS (Q4 FY25 update)</t>
  </si>
  <si>
    <t>Business Standard, Q4 FY25 business update (deposits ₹71,400 cr)</t>
  </si>
  <si>
    <t>https://www.business-standard.com/markets/capital-market-news/bajaj-finance-rises-afterr-recording-36-yoy-growth-in-new-loans-in-q4-125040400402_1.html</t>
  </si>
  <si>
    <t>FY24 deck</t>
  </si>
  <si>
    <t>Q4 FY24 Investor Presentation, 25 Apr 2024 (slide numbers)</t>
  </si>
  <si>
    <t>https://www.bseindia.com/xml-data/corpfiling/AttachHis/e0f1f368-0789-4d62-9fd8-92ac57c452f0.pdf</t>
  </si>
  <si>
    <t>FY26 deck</t>
  </si>
  <si>
    <t>Q4 FY26 Investor Presentation, 29 Apr 2026 (slide numbers; PDF page = slide + 1)</t>
  </si>
  <si>
    <t>https://nsearchives.nseindia.com/corporate/BAJFINANCE_29042026172519_InvestorPresentation.pdf</t>
  </si>
  <si>
    <t>Business Standard (Q4 FY22)</t>
  </si>
  <si>
    <t>Stage 2/3 and CRAR at Mar-22</t>
  </si>
  <si>
    <t>https://www.business-standard.com/article/news-cm/bajaj-finance-q4-pat-jumps-80-yoy-to-rs-2-420-cr-122042700390_1.html</t>
  </si>
  <si>
    <t>Outlook Business</t>
  </si>
  <si>
    <t>GNPA/NNPA Mar-21 and Mar-22; overlay</t>
  </si>
  <si>
    <t>https://www.outlookbusiness.com/amp/story/news/bajaj-finance-profit-zooms-80-to-rs-2-420-crore-in-march-quarter-news-193400</t>
  </si>
  <si>
    <t>Status</t>
  </si>
  <si>
    <t>All core project variables are complete for FY2017-18 to FY2025-26. FY2016-17 has no stage/ECL data (pre-Ind AS) and no GNPA/NNPA ₹ in the sources used.</t>
  </si>
  <si>
    <t>FY18 Gross NPA ₹: audited Stage 3 (₹1,200 cr, FY20 AR) vs ₹1,166 cr in the Q3 FY19 deck; the audited figure is used.</t>
  </si>
  <si>
    <t>Optional extras still blank: write-offs FY23–FY26; total assets/equity/borrowings FY21–FY26 (debt/equity); FY22 standalone AUM; NII FY20–FY22.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</si>
</sst>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0%;\(0.00%\);\-"/>
    <numFmt numFmtId="166" formatCode="0.0\x"/>
    <numFmt numFmtId="167" formatCode="0.00%;\-0.00%;\-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sz val="10"/>
      <color rgb="FF008000"/>
      <name val="Arial"/>
      <charset val="1"/>
    </font>
    <font>
      <sz val="9"/>
      <color rgb="FF7F7F7F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85723"/>
        <bgColor rgb="FF555555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9" fontId="6" fillId="0" borderId="1" xfId="0" applyNumberFormat="1" applyFont="1" applyBorder="1"/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/>
    <xf numFmtId="164" fontId="0" fillId="4" borderId="1" xfId="0" applyNumberFormat="1" applyFill="1" applyBorder="1"/>
    <xf numFmtId="165" fontId="0" fillId="0" borderId="1" xfId="0" applyNumberFormat="1" applyBorder="1"/>
    <xf numFmtId="164" fontId="0" fillId="0" borderId="1" xfId="0" applyNumberFormat="1" applyBorder="1"/>
    <xf numFmtId="165" fontId="3" fillId="0" borderId="1" xfId="0" applyNumberFormat="1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/>
    <xf numFmtId="164" fontId="2" fillId="0" borderId="0" xfId="0" applyNumberFormat="1" applyFont="1"/>
    <xf numFmtId="165" fontId="8" fillId="0" borderId="1" xfId="0" applyNumberFormat="1" applyFont="1" applyBorder="1"/>
    <xf numFmtId="9" fontId="3" fillId="0" borderId="1" xfId="0" applyNumberFormat="1" applyFont="1" applyBorder="1"/>
    <xf numFmtId="9" fontId="0" fillId="0" borderId="0" xfId="0" applyNumberFormat="1"/>
    <xf numFmtId="164" fontId="0" fillId="5" borderId="1" xfId="0" applyNumberFormat="1" applyFill="1" applyBorder="1"/>
    <xf numFmtId="167" fontId="0" fillId="0" borderId="1" xfId="0" applyNumberFormat="1" applyBorder="1"/>
    <xf numFmtId="167" fontId="3" fillId="0" borderId="1" xfId="0" applyNumberFormat="1" applyFont="1" applyBorder="1"/>
    <xf numFmtId="166" fontId="8" fillId="0" borderId="1" xfId="0" applyNumberFormat="1" applyFont="1" applyBorder="1"/>
    <xf numFmtId="166" fontId="3" fillId="0" borderId="1" xfId="0" applyNumberFormat="1" applyFont="1" applyBorder="1"/>
    <xf numFmtId="9" fontId="0" fillId="5" borderId="1" xfId="0" applyNumberFormat="1" applyFill="1" applyBorder="1"/>
    <xf numFmtId="9" fontId="8" fillId="0" borderId="1" xfId="0" applyNumberFormat="1" applyFont="1" applyBorder="1"/>
    <xf numFmtId="9" fontId="0" fillId="4" borderId="1" xfId="0" applyNumberFormat="1" applyFill="1" applyBorder="1"/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857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zoomScaleNormal="100" workbookViewId="0"/>
  </sheetViews>
  <sheetFormatPr defaultColWidth="8.6328125" defaultRowHeight="14.5" x14ac:dyDescent="0.35"/>
  <cols>
    <col min="1" max="1" width="18" customWidth="1"/>
    <col min="2" max="2" width="110" customWidth="1"/>
  </cols>
  <sheetData>
    <row r="1" spans="1:2" ht="18" x14ac:dyDescent="0.4">
      <c r="A1" s="1" t="s">
        <v>0</v>
      </c>
    </row>
    <row r="3" spans="1:2" ht="29" x14ac:dyDescent="0.35">
      <c r="A3" s="2" t="s">
        <v>1</v>
      </c>
      <c r="B3" s="3" t="s">
        <v>2</v>
      </c>
    </row>
    <row r="4" spans="1:2" ht="29" x14ac:dyDescent="0.35">
      <c r="A4" s="2" t="s">
        <v>3</v>
      </c>
      <c r="B4" s="3" t="s">
        <v>4</v>
      </c>
    </row>
    <row r="5" spans="1:2" ht="29" x14ac:dyDescent="0.35">
      <c r="A5" s="2" t="s">
        <v>5</v>
      </c>
      <c r="B5" s="3" t="s">
        <v>6</v>
      </c>
    </row>
    <row r="6" spans="1:2" ht="29" x14ac:dyDescent="0.35">
      <c r="A6" s="2" t="s">
        <v>7</v>
      </c>
      <c r="B6" s="3" t="s">
        <v>8</v>
      </c>
    </row>
    <row r="7" spans="1:2" ht="29" x14ac:dyDescent="0.35">
      <c r="A7" s="2" t="s">
        <v>9</v>
      </c>
      <c r="B7" s="3" t="s">
        <v>10</v>
      </c>
    </row>
    <row r="8" spans="1:2" x14ac:dyDescent="0.35">
      <c r="A8" s="4"/>
      <c r="B8" s="3"/>
    </row>
    <row r="9" spans="1:2" x14ac:dyDescent="0.35">
      <c r="A9" s="5" t="s">
        <v>11</v>
      </c>
      <c r="B9" s="6" t="s">
        <v>12</v>
      </c>
    </row>
    <row r="10" spans="1:2" x14ac:dyDescent="0.35">
      <c r="A10" s="2" t="s">
        <v>13</v>
      </c>
      <c r="B10" s="3" t="s">
        <v>14</v>
      </c>
    </row>
    <row r="11" spans="1:2" x14ac:dyDescent="0.35">
      <c r="A11" s="2" t="s">
        <v>15</v>
      </c>
      <c r="B11" s="3" t="s">
        <v>16</v>
      </c>
    </row>
    <row r="12" spans="1:2" x14ac:dyDescent="0.35">
      <c r="A12" s="2" t="s">
        <v>17</v>
      </c>
      <c r="B12" s="3" t="s">
        <v>18</v>
      </c>
    </row>
    <row r="13" spans="1:2" x14ac:dyDescent="0.35">
      <c r="A13" s="2" t="s">
        <v>19</v>
      </c>
      <c r="B13" s="3" t="s">
        <v>20</v>
      </c>
    </row>
    <row r="14" spans="1:2" x14ac:dyDescent="0.35">
      <c r="A14" s="2" t="s">
        <v>21</v>
      </c>
      <c r="B14" s="3" t="s">
        <v>22</v>
      </c>
    </row>
    <row r="15" spans="1:2" x14ac:dyDescent="0.35">
      <c r="A15" s="2" t="s">
        <v>23</v>
      </c>
      <c r="B15" s="3" t="s">
        <v>24</v>
      </c>
    </row>
    <row r="16" spans="1:2" x14ac:dyDescent="0.35">
      <c r="A16" s="2" t="s">
        <v>25</v>
      </c>
      <c r="B16" s="3" t="s">
        <v>26</v>
      </c>
    </row>
    <row r="17" spans="1:2" x14ac:dyDescent="0.35">
      <c r="A17" s="2" t="s">
        <v>27</v>
      </c>
      <c r="B17" s="3" t="s">
        <v>28</v>
      </c>
    </row>
    <row r="18" spans="1:2" x14ac:dyDescent="0.35">
      <c r="A18" s="2" t="s">
        <v>29</v>
      </c>
      <c r="B18" s="3" t="s">
        <v>30</v>
      </c>
    </row>
    <row r="19" spans="1:2" x14ac:dyDescent="0.35">
      <c r="A19" s="2" t="s">
        <v>31</v>
      </c>
      <c r="B19" s="3" t="s">
        <v>32</v>
      </c>
    </row>
    <row r="20" spans="1:2" x14ac:dyDescent="0.35">
      <c r="A20" s="2" t="s">
        <v>33</v>
      </c>
      <c r="B20" s="3" t="s">
        <v>34</v>
      </c>
    </row>
    <row r="21" spans="1:2" x14ac:dyDescent="0.35">
      <c r="A21" s="2" t="s">
        <v>35</v>
      </c>
      <c r="B21" s="3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2" width="14" customWidth="1"/>
    <col min="3" max="31" width="13" customWidth="1"/>
  </cols>
  <sheetData>
    <row r="1" spans="1:31" ht="18" x14ac:dyDescent="0.4">
      <c r="A1" s="1" t="s">
        <v>37</v>
      </c>
    </row>
    <row r="2" spans="1:31" x14ac:dyDescent="0.35">
      <c r="A2" s="7" t="s">
        <v>38</v>
      </c>
    </row>
    <row r="4" spans="1:31" ht="48" customHeight="1" x14ac:dyDescent="0.35">
      <c r="A4" s="8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8" t="s">
        <v>53</v>
      </c>
      <c r="P4" s="8" t="s">
        <v>54</v>
      </c>
      <c r="Q4" s="8" t="s">
        <v>55</v>
      </c>
      <c r="R4" s="8" t="s">
        <v>56</v>
      </c>
      <c r="S4" s="8" t="s">
        <v>57</v>
      </c>
      <c r="T4" s="8" t="s">
        <v>58</v>
      </c>
      <c r="U4" s="8" t="s">
        <v>59</v>
      </c>
      <c r="V4" s="8" t="s">
        <v>60</v>
      </c>
      <c r="W4" s="8" t="s">
        <v>61</v>
      </c>
      <c r="X4" s="8" t="s">
        <v>62</v>
      </c>
      <c r="Y4" s="8" t="s">
        <v>63</v>
      </c>
      <c r="Z4" s="8" t="s">
        <v>64</v>
      </c>
      <c r="AA4" s="8" t="s">
        <v>65</v>
      </c>
      <c r="AB4" s="8" t="s">
        <v>66</v>
      </c>
      <c r="AC4" s="8" t="s">
        <v>67</v>
      </c>
      <c r="AD4" s="8" t="s">
        <v>68</v>
      </c>
      <c r="AE4" s="8" t="s">
        <v>69</v>
      </c>
    </row>
    <row r="5" spans="1:31" x14ac:dyDescent="0.35">
      <c r="A5" s="9" t="s">
        <v>70</v>
      </c>
      <c r="B5" s="10" t="s">
        <v>71</v>
      </c>
      <c r="C5" s="11">
        <f>IF(AUM!B5="","",AUM!B5)</f>
        <v>60196</v>
      </c>
      <c r="D5" s="12" t="str">
        <f>IF(AUM!E5="","",AUM!E5)</f>
        <v/>
      </c>
      <c r="E5" s="12">
        <f>IF(Asset_Quality!B5="","",Asset_Quality!B5)</f>
        <v>1.6799999999999999E-2</v>
      </c>
      <c r="F5" s="12">
        <f>IF(Asset_Quality!C5="","",Asset_Quality!C5)</f>
        <v>4.4000000000000003E-3</v>
      </c>
      <c r="G5" s="11" t="str">
        <f>IF(Asset_Quality!D5="","",Asset_Quality!D5)</f>
        <v/>
      </c>
      <c r="H5" s="11" t="str">
        <f>IF(Asset_Quality!E5="","",Asset_Quality!E5)</f>
        <v/>
      </c>
      <c r="I5" s="12">
        <f>IF(Asset_Quality!F5="","",Asset_Quality!F5)</f>
        <v>0.74</v>
      </c>
      <c r="J5" s="12" t="str">
        <f>IF(Stage_ECL!J5="","",Stage_ECL!J5)</f>
        <v/>
      </c>
      <c r="K5" s="12" t="str">
        <f>IF(Stage_ECL!K5="","",Stage_ECL!K5)</f>
        <v/>
      </c>
      <c r="L5" s="11">
        <f>IF(Credit_Losses!B5="","",Credit_Losses!B5)</f>
        <v>804</v>
      </c>
      <c r="M5" s="12">
        <f>IF(Credit_Losses!C5="","",Credit_Losses!C5)</f>
        <v>1.61E-2</v>
      </c>
      <c r="N5" s="12" t="str">
        <f>IF(Credit_Losses!G5="","",Credit_Losses!G5)</f>
        <v/>
      </c>
      <c r="O5" s="11" t="str">
        <f>IF(Credit_Losses!D5="","",Credit_Losses!D5)</f>
        <v/>
      </c>
      <c r="P5" s="12">
        <f>IF(Capital!B5="","",Capital!B5)</f>
        <v>0.20300000000000001</v>
      </c>
      <c r="Q5" s="12">
        <f>IF(Capital!C5="","",Capital!C5)</f>
        <v>0.14599999999999999</v>
      </c>
      <c r="R5" s="13">
        <f>IF(Capital!E5="","",Capital!E5)</f>
        <v>6.6</v>
      </c>
      <c r="S5" s="13" t="str">
        <f>IF(Capital!I5="","",Capital!I5)</f>
        <v/>
      </c>
      <c r="T5" s="11">
        <f>IF(Profitability!D5="","",Profitability!D5)</f>
        <v>6186</v>
      </c>
      <c r="U5" s="11">
        <f>IF(Profitability!I5="","",Profitability!I5)</f>
        <v>1837</v>
      </c>
      <c r="V5" s="12">
        <f>IF(Profitability!J5="","",Profitability!J5)</f>
        <v>3.6999999999999998E-2</v>
      </c>
      <c r="W5" s="12">
        <f>IF(Profitability!K5="","",Profitability!K5)</f>
        <v>0.216</v>
      </c>
      <c r="X5" s="12">
        <f>IF(Profitability!M5="","",Profitability!M5)</f>
        <v>0.41448431943097319</v>
      </c>
      <c r="Y5" s="12">
        <f>IF(Profitability!N5="","",Profitability!N5)</f>
        <v>0.12997090203685743</v>
      </c>
      <c r="Z5" s="11" t="str">
        <f>IF(Liquidity!B5="","",Liquidity!B5)</f>
        <v/>
      </c>
      <c r="AA5" s="14" t="str">
        <f>IF(Liquidity!C5="","",Liquidity!C5)</f>
        <v/>
      </c>
      <c r="AB5" s="14">
        <f>IF(Liquidity!F5="","",Liquidity!F5)</f>
        <v>0.08</v>
      </c>
      <c r="AC5" s="14">
        <f>IF(Liquidity!L5="","",Liquidity!L5)</f>
        <v>1.19</v>
      </c>
      <c r="AD5" s="14">
        <f>IF(Liquidity!M5="","",Liquidity!M5)</f>
        <v>0.5</v>
      </c>
      <c r="AE5" s="12">
        <f>IF(Profitability!L5="","",Profitability!L5)</f>
        <v>0.09</v>
      </c>
    </row>
    <row r="6" spans="1:31" x14ac:dyDescent="0.35">
      <c r="A6" s="9" t="s">
        <v>72</v>
      </c>
      <c r="B6" s="10" t="s">
        <v>71</v>
      </c>
      <c r="C6" s="11">
        <f>IF(AUM!B6="","",AUM!B6)</f>
        <v>82422</v>
      </c>
      <c r="D6" s="12">
        <f>IF(AUM!E6="","",AUM!E6)</f>
        <v>0.36922719117549341</v>
      </c>
      <c r="E6" s="12">
        <f>IF(Asset_Quality!B6="","",Asset_Quality!B6)</f>
        <v>1.41E-2</v>
      </c>
      <c r="F6" s="12">
        <f>IF(Asset_Quality!C6="","",Asset_Quality!C6)</f>
        <v>4.3E-3</v>
      </c>
      <c r="G6" s="11">
        <f>IF(Asset_Quality!D6="","",Asset_Quality!D6)</f>
        <v>1200</v>
      </c>
      <c r="H6" s="11">
        <f>IF(Asset_Quality!E6="","",Asset_Quality!E6)</f>
        <v>390</v>
      </c>
      <c r="I6" s="12">
        <f>IF(Asset_Quality!F6="","",Asset_Quality!F6)</f>
        <v>0.7</v>
      </c>
      <c r="J6" s="12">
        <f>IF(Stage_ECL!J6="","",Stage_ECL!J6)</f>
        <v>1.3418823558592636E-2</v>
      </c>
      <c r="K6" s="12">
        <f>IF(Stage_ECL!K6="","",Stage_ECL!K6)</f>
        <v>1.4882244242431758E-2</v>
      </c>
      <c r="L6" s="11">
        <f>IF(Credit_Losses!B6="","",Credit_Losses!B6)</f>
        <v>1030</v>
      </c>
      <c r="M6" s="12">
        <f>IF(Credit_Losses!C6="","",Credit_Losses!C6)</f>
        <v>1.4999999999999999E-2</v>
      </c>
      <c r="N6" s="12">
        <f>IF(Credit_Losses!G6="","",Credit_Losses!G6)</f>
        <v>1.4444179556577711E-2</v>
      </c>
      <c r="O6" s="11" t="str">
        <f>IF(Credit_Losses!D6="","",Credit_Losses!D6)</f>
        <v/>
      </c>
      <c r="P6" s="12">
        <f>IF(Capital!B6="","",Capital!B6)</f>
        <v>0.24709999999999999</v>
      </c>
      <c r="Q6" s="12">
        <f>IF(Capital!C6="","",Capital!C6)</f>
        <v>0.1968</v>
      </c>
      <c r="R6" s="13">
        <f>IF(Capital!E6="","",Capital!E6)</f>
        <v>5.4</v>
      </c>
      <c r="S6" s="13" t="str">
        <f>IF(Capital!I6="","",Capital!I6)</f>
        <v/>
      </c>
      <c r="T6" s="11">
        <f>IF(Profitability!D6="","",Profitability!D6)</f>
        <v>8143</v>
      </c>
      <c r="U6" s="11">
        <f>IF(Profitability!I6="","",Profitability!I6)</f>
        <v>2496</v>
      </c>
      <c r="V6" s="12">
        <f>IF(Profitability!J6="","",Profitability!J6)</f>
        <v>3.6999999999999998E-2</v>
      </c>
      <c r="W6" s="12">
        <f>IF(Profitability!K6="","",Profitability!K6)</f>
        <v>0.20100000000000001</v>
      </c>
      <c r="X6" s="12">
        <f>IF(Profitability!M6="","",Profitability!M6)</f>
        <v>0.40157190224732897</v>
      </c>
      <c r="Y6" s="12">
        <f>IF(Profitability!N6="","",Profitability!N6)</f>
        <v>0.12648900896475501</v>
      </c>
      <c r="Z6" s="11" t="str">
        <f>IF(Liquidity!B6="","",Liquidity!B6)</f>
        <v/>
      </c>
      <c r="AA6" s="14" t="str">
        <f>IF(Liquidity!C6="","",Liquidity!C6)</f>
        <v/>
      </c>
      <c r="AB6" s="14">
        <f>IF(Liquidity!F6="","",Liquidity!F6)</f>
        <v>0.12</v>
      </c>
      <c r="AC6" s="14">
        <f>IF(Liquidity!L6="","",Liquidity!L6)</f>
        <v>1.2</v>
      </c>
      <c r="AD6" s="14">
        <f>IF(Liquidity!M6="","",Liquidity!M6)</f>
        <v>0.96</v>
      </c>
      <c r="AE6" s="12">
        <f>IF(Profitability!L6="","",Profitability!L6)</f>
        <v>8.2400000000000001E-2</v>
      </c>
    </row>
    <row r="7" spans="1:31" x14ac:dyDescent="0.35">
      <c r="A7" s="9" t="s">
        <v>73</v>
      </c>
      <c r="B7" s="10" t="s">
        <v>71</v>
      </c>
      <c r="C7" s="11">
        <f>IF(AUM!B7="","",AUM!B7)</f>
        <v>115888</v>
      </c>
      <c r="D7" s="12">
        <f>IF(AUM!E7="","",AUM!E7)</f>
        <v>0.4060323699983015</v>
      </c>
      <c r="E7" s="12">
        <f>IF(Asset_Quality!B7="","",Asset_Quality!B7)</f>
        <v>1.54E-2</v>
      </c>
      <c r="F7" s="12">
        <f>IF(Asset_Quality!C7="","",Asset_Quality!C7)</f>
        <v>6.3E-3</v>
      </c>
      <c r="G7" s="11">
        <f>IF(Asset_Quality!D7="","",Asset_Quality!D7)</f>
        <v>1812</v>
      </c>
      <c r="H7" s="11">
        <f>IF(Asset_Quality!E7="","",Asset_Quality!E7)</f>
        <v>735</v>
      </c>
      <c r="I7" s="12">
        <f>IF(Asset_Quality!F7="","",Asset_Quality!F7)</f>
        <v>0.6</v>
      </c>
      <c r="J7" s="12">
        <f>IF(Stage_ECL!J7="","",Stage_ECL!J7)</f>
        <v>1.7552434734793274E-2</v>
      </c>
      <c r="K7" s="12">
        <f>IF(Stage_ECL!K7="","",Stage_ECL!K7)</f>
        <v>1.5815520506934563E-2</v>
      </c>
      <c r="L7" s="11">
        <f>IF(Credit_Losses!B7="","",Credit_Losses!B7)</f>
        <v>1501</v>
      </c>
      <c r="M7" s="12">
        <f>IF(Credit_Losses!C7="","",Credit_Losses!C7)</f>
        <v>1.55E-2</v>
      </c>
      <c r="N7" s="12">
        <f>IF(Credit_Losses!G7="","",Credit_Losses!G7)</f>
        <v>1.5137915385003278E-2</v>
      </c>
      <c r="O7" s="11">
        <f>IF(Credit_Losses!D7="","",Credit_Losses!D7)</f>
        <v>965</v>
      </c>
      <c r="P7" s="12">
        <f>IF(Capital!B7="","",Capital!B7)</f>
        <v>0.20660000000000001</v>
      </c>
      <c r="Q7" s="12">
        <f>IF(Capital!C7="","",Capital!C7)</f>
        <v>0.16270000000000001</v>
      </c>
      <c r="R7" s="13">
        <f>IF(Capital!E7="","",Capital!E7)</f>
        <v>6.3</v>
      </c>
      <c r="S7" s="13">
        <f>IF(Capital!I7="","",Capital!I7)</f>
        <v>5.1575366807127985</v>
      </c>
      <c r="T7" s="11">
        <f>IF(Profitability!D7="","",Profitability!D7)</f>
        <v>11877</v>
      </c>
      <c r="U7" s="11">
        <f>IF(Profitability!I7="","",Profitability!I7)</f>
        <v>3995</v>
      </c>
      <c r="V7" s="12">
        <f>IF(Profitability!J7="","",Profitability!J7)</f>
        <v>4.2000000000000003E-2</v>
      </c>
      <c r="W7" s="12">
        <f>IF(Profitability!K7="","",Profitability!K7)</f>
        <v>0.2248</v>
      </c>
      <c r="X7" s="12">
        <f>IF(Profitability!M7="","",Profitability!M7)</f>
        <v>0.35337206365243751</v>
      </c>
      <c r="Y7" s="12">
        <f>IF(Profitability!N7="","",Profitability!N7)</f>
        <v>0.1263787151637619</v>
      </c>
      <c r="Z7" s="11" t="str">
        <f>IF(Liquidity!B7="","",Liquidity!B7)</f>
        <v/>
      </c>
      <c r="AA7" s="14" t="str">
        <f>IF(Liquidity!C7="","",Liquidity!C7)</f>
        <v/>
      </c>
      <c r="AB7" s="14">
        <f>IF(Liquidity!F7="","",Liquidity!F7)</f>
        <v>0.13</v>
      </c>
      <c r="AC7" s="14">
        <f>IF(Liquidity!L7="","",Liquidity!L7)</f>
        <v>0.51</v>
      </c>
      <c r="AD7" s="14">
        <f>IF(Liquidity!M7="","",Liquidity!M7)</f>
        <v>0.56999999999999995</v>
      </c>
      <c r="AE7" s="12">
        <f>IF(Profitability!L7="","",Profitability!L7)</f>
        <v>8.2699999999999996E-2</v>
      </c>
    </row>
    <row r="8" spans="1:31" x14ac:dyDescent="0.35">
      <c r="A8" s="9" t="s">
        <v>74</v>
      </c>
      <c r="B8" s="10" t="s">
        <v>71</v>
      </c>
      <c r="C8" s="11">
        <f>IF(AUM!B8="","",AUM!B8)</f>
        <v>147153</v>
      </c>
      <c r="D8" s="12">
        <f>IF(AUM!E8="","",AUM!E8)</f>
        <v>0.26978634543697355</v>
      </c>
      <c r="E8" s="12">
        <f>IF(Asset_Quality!B8="","",Asset_Quality!B8)</f>
        <v>1.61E-2</v>
      </c>
      <c r="F8" s="12">
        <f>IF(Asset_Quality!C8="","",Asset_Quality!C8)</f>
        <v>6.4999999999999997E-3</v>
      </c>
      <c r="G8" s="11">
        <f>IF(Asset_Quality!D8="","",Asset_Quality!D8)</f>
        <v>2363</v>
      </c>
      <c r="H8" s="11">
        <f>IF(Asset_Quality!E8="","",Asset_Quality!E8)</f>
        <v>938</v>
      </c>
      <c r="I8" s="12">
        <f>IF(Asset_Quality!F8="","",Asset_Quality!F8)</f>
        <v>0.6</v>
      </c>
      <c r="J8" s="12">
        <f>IF(Stage_ECL!J8="","",Stage_ECL!J8)</f>
        <v>2.1695382494831151E-2</v>
      </c>
      <c r="K8" s="12">
        <f>IF(Stage_ECL!K8="","",Stage_ECL!K8)</f>
        <v>1.6285320468642315E-2</v>
      </c>
      <c r="L8" s="11">
        <f>IF(Credit_Losses!B8="","",Credit_Losses!B8)</f>
        <v>3929</v>
      </c>
      <c r="M8" s="12">
        <f>IF(Credit_Losses!C8="","",Credit_Losses!C8)</f>
        <v>3.1E-2</v>
      </c>
      <c r="N8" s="12">
        <f>IF(Credit_Losses!G8="","",Credit_Losses!G8)</f>
        <v>2.9873669884162544E-2</v>
      </c>
      <c r="O8" s="11">
        <f>IF(Credit_Losses!D8="","",Credit_Losses!D8)</f>
        <v>2248</v>
      </c>
      <c r="P8" s="12">
        <f>IF(Capital!B8="","",Capital!B8)</f>
        <v>0.25009999999999999</v>
      </c>
      <c r="Q8" s="12">
        <f>IF(Capital!C8="","",Capital!C8)</f>
        <v>0.2127</v>
      </c>
      <c r="R8" s="13">
        <f>IF(Capital!E8="","",Capital!E8)</f>
        <v>5.0999999999999996</v>
      </c>
      <c r="S8" s="13">
        <f>IF(Capital!I8="","",Capital!I8)</f>
        <v>4.0152808710715169</v>
      </c>
      <c r="T8" s="11">
        <f>IF(Profitability!D8="","",Profitability!D8)</f>
        <v>16913</v>
      </c>
      <c r="U8" s="11">
        <f>IF(Profitability!I8="","",Profitability!I8)</f>
        <v>5264</v>
      </c>
      <c r="V8" s="12">
        <f>IF(Profitability!J8="","",Profitability!J8)</f>
        <v>4.1500000000000002E-2</v>
      </c>
      <c r="W8" s="12">
        <f>IF(Profitability!K8="","",Profitability!K8)</f>
        <v>0.2024</v>
      </c>
      <c r="X8" s="12">
        <f>IF(Profitability!M8="","",Profitability!M8)</f>
        <v>0.33477206882279903</v>
      </c>
      <c r="Y8" s="12">
        <f>IF(Profitability!N8="","",Profitability!N8)</f>
        <v>0.23230650978537221</v>
      </c>
      <c r="Z8" s="11">
        <f>IF(Liquidity!B8="","",Liquidity!B8)</f>
        <v>15725</v>
      </c>
      <c r="AA8" s="14" t="str">
        <f>IF(Liquidity!C8="","",Liquidity!C8)</f>
        <v/>
      </c>
      <c r="AB8" s="14">
        <f>IF(Liquidity!F8="","",Liquidity!F8)</f>
        <v>0.17</v>
      </c>
      <c r="AC8" s="14">
        <f>IF(Liquidity!L8="","",Liquidity!L8)</f>
        <v>2.2000000000000002</v>
      </c>
      <c r="AD8" s="14">
        <f>IF(Liquidity!M8="","",Liquidity!M8)</f>
        <v>0.54</v>
      </c>
      <c r="AE8" s="12">
        <f>IF(Profitability!L8="","",Profitability!L8)</f>
        <v>8.3900000000000002E-2</v>
      </c>
    </row>
    <row r="9" spans="1:31" x14ac:dyDescent="0.35">
      <c r="A9" s="9" t="s">
        <v>75</v>
      </c>
      <c r="B9" s="10" t="s">
        <v>71</v>
      </c>
      <c r="C9" s="11">
        <f>IF(AUM!B9="","",AUM!B9)</f>
        <v>152947</v>
      </c>
      <c r="D9" s="12">
        <f>IF(AUM!E9="","",AUM!E9)</f>
        <v>3.9373984900070047E-2</v>
      </c>
      <c r="E9" s="12">
        <f>IF(Asset_Quality!B9="","",Asset_Quality!B9)</f>
        <v>1.7899999999999999E-2</v>
      </c>
      <c r="F9" s="12">
        <f>IF(Asset_Quality!C9="","",Asset_Quality!C9)</f>
        <v>7.4999999999999997E-3</v>
      </c>
      <c r="G9" s="11">
        <f>IF(Asset_Quality!D9="","",Asset_Quality!D9)</f>
        <v>2731</v>
      </c>
      <c r="H9" s="11">
        <f>IF(Asset_Quality!E9="","",Asset_Quality!E9)</f>
        <v>1136</v>
      </c>
      <c r="I9" s="12">
        <f>IF(Asset_Quality!F9="","",Asset_Quality!F9)</f>
        <v>0.57999999999999996</v>
      </c>
      <c r="J9" s="12">
        <f>IF(Stage_ECL!J9="","",Stage_ECL!J9)</f>
        <v>4.4537898605914103E-2</v>
      </c>
      <c r="K9" s="12">
        <f>IF(Stage_ECL!K9="","",Stage_ECL!K9)</f>
        <v>1.8086691612305042E-2</v>
      </c>
      <c r="L9" s="11">
        <f>IF(Credit_Losses!B9="","",Credit_Losses!B9)</f>
        <v>5969</v>
      </c>
      <c r="M9" s="12">
        <f>IF(Credit_Losses!C9="","",Credit_Losses!C9)</f>
        <v>4.1399999999999999E-2</v>
      </c>
      <c r="N9" s="12">
        <f>IF(Credit_Losses!G9="","",Credit_Losses!G9)</f>
        <v>3.9780073308897032E-2</v>
      </c>
      <c r="O9" s="11">
        <f>IF(Credit_Losses!D9="","",Credit_Losses!D9)</f>
        <v>5554</v>
      </c>
      <c r="P9" s="12">
        <f>IF(Capital!B9="","",Capital!B9)</f>
        <v>0.28310000000000002</v>
      </c>
      <c r="Q9" s="12">
        <f>IF(Capital!C9="","",Capital!C9)</f>
        <v>0.25109999999999999</v>
      </c>
      <c r="R9" s="13">
        <f>IF(Capital!E9="","",Capital!E9)</f>
        <v>4.7</v>
      </c>
      <c r="S9" s="13" t="str">
        <f>IF(Capital!I9="","",Capital!I9)</f>
        <v/>
      </c>
      <c r="T9" s="11">
        <f>IF(Profitability!D9="","",Profitability!D9)</f>
        <v>17269</v>
      </c>
      <c r="U9" s="11">
        <f>IF(Profitability!I9="","",Profitability!I9)</f>
        <v>4420</v>
      </c>
      <c r="V9" s="12">
        <f>IF(Profitability!J9="","",Profitability!J9)</f>
        <v>3.0700000000000002E-2</v>
      </c>
      <c r="W9" s="12">
        <f>IF(Profitability!K9="","",Profitability!K9)</f>
        <v>0.12770000000000001</v>
      </c>
      <c r="X9" s="12">
        <f>IF(Profitability!M9="","",Profitability!M9)</f>
        <v>0.30737159071167991</v>
      </c>
      <c r="Y9" s="12">
        <f>IF(Profitability!N9="","",Profitability!N9)</f>
        <v>0.34564827146910648</v>
      </c>
      <c r="Z9" s="11">
        <f>IF(Liquidity!B9="","",Liquidity!B9)</f>
        <v>16485</v>
      </c>
      <c r="AA9" s="14">
        <f>IF(Liquidity!C9="","",Liquidity!C9)</f>
        <v>2.7</v>
      </c>
      <c r="AB9" s="14">
        <f>IF(Liquidity!F9="","",Liquidity!F9)</f>
        <v>0.2</v>
      </c>
      <c r="AC9" s="14">
        <f>IF(Liquidity!L9="","",Liquidity!L9)</f>
        <v>2.16</v>
      </c>
      <c r="AD9" s="14">
        <f>IF(Liquidity!M9="","",Liquidity!M9)</f>
        <v>0.8</v>
      </c>
      <c r="AE9" s="12">
        <f>IF(Profitability!L9="","",Profitability!L9)</f>
        <v>7.8399999999999997E-2</v>
      </c>
    </row>
    <row r="10" spans="1:31" x14ac:dyDescent="0.35">
      <c r="A10" s="9" t="s">
        <v>76</v>
      </c>
      <c r="B10" s="10" t="s">
        <v>71</v>
      </c>
      <c r="C10" s="11">
        <f>IF(AUM!B10="","",AUM!B10)</f>
        <v>197452</v>
      </c>
      <c r="D10" s="12">
        <f>IF(AUM!E10="","",AUM!E10)</f>
        <v>0.29098315102617245</v>
      </c>
      <c r="E10" s="12">
        <f>IF(Asset_Quality!B10="","",Asset_Quality!B10)</f>
        <v>1.6E-2</v>
      </c>
      <c r="F10" s="12">
        <f>IF(Asset_Quality!C10="","",Asset_Quality!C10)</f>
        <v>6.7999999999999996E-3</v>
      </c>
      <c r="G10" s="11">
        <f>IF(Asset_Quality!D10="","",Asset_Quality!D10)</f>
        <v>3133</v>
      </c>
      <c r="H10" s="11">
        <f>IF(Asset_Quality!E10="","",Asset_Quality!E10)</f>
        <v>1315</v>
      </c>
      <c r="I10" s="12">
        <f>IF(Asset_Quality!F10="","",Asset_Quality!F10)</f>
        <v>0.57999999999999996</v>
      </c>
      <c r="J10" s="12">
        <f>IF(Stage_ECL!J10="","",Stage_ECL!J10)</f>
        <v>1.97162816349041E-2</v>
      </c>
      <c r="K10" s="12">
        <f>IF(Stage_ECL!K10="","",Stage_ECL!K10)</f>
        <v>1.5998733582531611E-2</v>
      </c>
      <c r="L10" s="11">
        <f>IF(Credit_Losses!B10="","",Credit_Losses!B10)</f>
        <v>4803</v>
      </c>
      <c r="M10" s="12">
        <f>IF(Credit_Losses!C10="","",Credit_Losses!C10)</f>
        <v>2.8400000000000002E-2</v>
      </c>
      <c r="N10" s="12">
        <f>IF(Credit_Losses!G10="","",Credit_Losses!G10)</f>
        <v>2.7414461799263126E-2</v>
      </c>
      <c r="O10" s="11">
        <f>IF(Credit_Losses!D10="","",Credit_Losses!D10)</f>
        <v>4807</v>
      </c>
      <c r="P10" s="12">
        <f>IF(Capital!B10="","",Capital!B10)</f>
        <v>0.2722</v>
      </c>
      <c r="Q10" s="12">
        <f>IF(Capital!C10="","",Capital!C10)</f>
        <v>0.2475</v>
      </c>
      <c r="R10" s="13">
        <f>IF(Capital!E10="","",Capital!E10)</f>
        <v>4.9000000000000004</v>
      </c>
      <c r="S10" s="13" t="str">
        <f>IF(Capital!I10="","",Capital!I10)</f>
        <v/>
      </c>
      <c r="T10" s="11">
        <f>IF(Profitability!D10="","",Profitability!D10)</f>
        <v>21894</v>
      </c>
      <c r="U10" s="11">
        <f>IF(Profitability!I10="","",Profitability!I10)</f>
        <v>7028</v>
      </c>
      <c r="V10" s="12">
        <f>IF(Profitability!J10="","",Profitability!J10)</f>
        <v>4.1599999999999998E-2</v>
      </c>
      <c r="W10" s="12">
        <f>IF(Profitability!K10="","",Profitability!K10)</f>
        <v>0.17430000000000001</v>
      </c>
      <c r="X10" s="12">
        <f>IF(Profitability!M10="","",Profitability!M10)</f>
        <v>0.34653329679364209</v>
      </c>
      <c r="Y10" s="12">
        <f>IF(Profitability!N10="","",Profitability!N10)</f>
        <v>0.21937517127980269</v>
      </c>
      <c r="Z10" s="11">
        <f>IF(Liquidity!B10="","",Liquidity!B10)</f>
        <v>10110</v>
      </c>
      <c r="AA10" s="14">
        <f>IF(Liquidity!C10="","",Liquidity!C10)</f>
        <v>1.34</v>
      </c>
      <c r="AB10" s="14">
        <f>IF(Liquidity!F10="","",Liquidity!F10)</f>
        <v>0.19</v>
      </c>
      <c r="AC10" s="14">
        <f>IF(Liquidity!L10="","",Liquidity!L10)</f>
        <v>0.31</v>
      </c>
      <c r="AD10" s="14">
        <f>IF(Liquidity!M10="","",Liquidity!M10)</f>
        <v>0.32</v>
      </c>
      <c r="AE10" s="12">
        <f>IF(Profitability!L10="","",Profitability!L10)</f>
        <v>6.8099999999999994E-2</v>
      </c>
    </row>
    <row r="11" spans="1:31" x14ac:dyDescent="0.35">
      <c r="A11" s="9" t="s">
        <v>77</v>
      </c>
      <c r="B11" s="10" t="s">
        <v>71</v>
      </c>
      <c r="C11" s="11">
        <f>IF(AUM!B11="","",AUM!B11)</f>
        <v>247379</v>
      </c>
      <c r="D11" s="12">
        <f>IF(AUM!E11="","",AUM!E11)</f>
        <v>0.25285639041387276</v>
      </c>
      <c r="E11" s="12">
        <f>IF(Asset_Quality!B11="","",Asset_Quality!B11)</f>
        <v>9.4000000000000004E-3</v>
      </c>
      <c r="F11" s="12">
        <f>IF(Asset_Quality!C11="","",Asset_Quality!C11)</f>
        <v>3.3999999999999998E-3</v>
      </c>
      <c r="G11" s="11">
        <f>IF(Asset_Quality!D11="","",Asset_Quality!D11)</f>
        <v>2313</v>
      </c>
      <c r="H11" s="11">
        <f>IF(Asset_Quality!E11="","",Asset_Quality!E11)</f>
        <v>837</v>
      </c>
      <c r="I11" s="12">
        <f>IF(Asset_Quality!F11="","",Asset_Quality!F11)</f>
        <v>0.64</v>
      </c>
      <c r="J11" s="12">
        <f>IF(Stage_ECL!J11="","",Stage_ECL!J11)</f>
        <v>1.2297474821193987E-2</v>
      </c>
      <c r="K11" s="12">
        <f>IF(Stage_ECL!K11="","",Stage_ECL!K11)</f>
        <v>9.3781929645307249E-3</v>
      </c>
      <c r="L11" s="11">
        <f>IF(Credit_Losses!B11="","",Credit_Losses!B11)</f>
        <v>3190</v>
      </c>
      <c r="M11" s="12">
        <f>IF(Credit_Losses!C11="","",Credit_Losses!C11)</f>
        <v>1.47E-2</v>
      </c>
      <c r="N11" s="12">
        <f>IF(Credit_Losses!G11="","",Credit_Losses!G11)</f>
        <v>1.4342525588369516E-2</v>
      </c>
      <c r="O11" s="11" t="str">
        <f>IF(Credit_Losses!D11="","",Credit_Losses!D11)</f>
        <v/>
      </c>
      <c r="P11" s="12">
        <f>IF(Capital!B11="","",Capital!B11)</f>
        <v>0.24970000000000001</v>
      </c>
      <c r="Q11" s="12">
        <f>IF(Capital!C11="","",Capital!C11)</f>
        <v>0.23200000000000001</v>
      </c>
      <c r="R11" s="13">
        <f>IF(Capital!E11="","",Capital!E11)</f>
        <v>5.0999999999999996</v>
      </c>
      <c r="S11" s="13" t="str">
        <f>IF(Capital!I11="","",Capital!I11)</f>
        <v/>
      </c>
      <c r="T11" s="11">
        <f>IF(Profitability!D11="","",Profitability!D11)</f>
        <v>28858</v>
      </c>
      <c r="U11" s="11">
        <f>IF(Profitability!I11="","",Profitability!I11)</f>
        <v>11508</v>
      </c>
      <c r="V11" s="12">
        <f>IF(Profitability!J11="","",Profitability!J11)</f>
        <v>5.2999999999999999E-2</v>
      </c>
      <c r="W11" s="12">
        <f>IF(Profitability!K11="","",Profitability!K11)</f>
        <v>0.2346</v>
      </c>
      <c r="X11" s="12">
        <f>IF(Profitability!M11="","",Profitability!M11)</f>
        <v>0.35144500658396283</v>
      </c>
      <c r="Y11" s="12">
        <f>IF(Profitability!N11="","",Profitability!N11)</f>
        <v>0.11054127105135492</v>
      </c>
      <c r="Z11" s="11">
        <f>IF(Liquidity!B11="","",Liquidity!B11)</f>
        <v>11852</v>
      </c>
      <c r="AA11" s="14" t="str">
        <f>IF(Liquidity!C11="","",Liquidity!C11)</f>
        <v/>
      </c>
      <c r="AB11" s="14">
        <f>IF(Liquidity!F11="","",Liquidity!F11)</f>
        <v>0.21</v>
      </c>
      <c r="AC11" s="14">
        <f>IF(Liquidity!L11="","",Liquidity!L11)</f>
        <v>0.93</v>
      </c>
      <c r="AD11" s="14">
        <f>IF(Liquidity!M11="","",Liquidity!M11)</f>
        <v>0.31</v>
      </c>
      <c r="AE11" s="12">
        <f>IF(Profitability!L11="","",Profitability!L11)</f>
        <v>7.0400000000000004E-2</v>
      </c>
    </row>
    <row r="12" spans="1:31" x14ac:dyDescent="0.35">
      <c r="A12" s="9" t="s">
        <v>78</v>
      </c>
      <c r="B12" s="10" t="s">
        <v>71</v>
      </c>
      <c r="C12" s="11">
        <f>IF(AUM!B12="","",AUM!B12)</f>
        <v>330615</v>
      </c>
      <c r="D12" s="12">
        <f>IF(AUM!E12="","",AUM!E12)</f>
        <v>0.33647156791805277</v>
      </c>
      <c r="E12" s="12">
        <f>IF(Asset_Quality!B12="","",Asset_Quality!B12)</f>
        <v>8.5000000000000006E-3</v>
      </c>
      <c r="F12" s="12">
        <f>IF(Asset_Quality!C12="","",Asset_Quality!C12)</f>
        <v>3.7000000000000002E-3</v>
      </c>
      <c r="G12" s="11">
        <f>IF(Asset_Quality!D12="","",Asset_Quality!D12)</f>
        <v>2816</v>
      </c>
      <c r="H12" s="11">
        <f>IF(Asset_Quality!E12="","",Asset_Quality!E12)</f>
        <v>1210</v>
      </c>
      <c r="I12" s="12">
        <f>IF(Asset_Quality!F12="","",Asset_Quality!F12)</f>
        <v>0.56999999999999995</v>
      </c>
      <c r="J12" s="12">
        <f>IF(Stage_ECL!J12="","",Stage_ECL!J12)</f>
        <v>1.2105609445453832E-2</v>
      </c>
      <c r="K12" s="12">
        <f>IF(Stage_ECL!K12="","",Stage_ECL!K12)</f>
        <v>8.4989768632256265E-3</v>
      </c>
      <c r="L12" s="11">
        <f>IF(Credit_Losses!B12="","",Credit_Losses!B12)</f>
        <v>4631</v>
      </c>
      <c r="M12" s="12">
        <f>IF(Credit_Losses!C12="","",Credit_Losses!C12)</f>
        <v>1.6299999999999999E-2</v>
      </c>
      <c r="N12" s="12">
        <f>IF(Credit_Losses!G12="","",Credit_Losses!G12)</f>
        <v>1.602438779641311E-2</v>
      </c>
      <c r="O12" s="11" t="str">
        <f>IF(Credit_Losses!D12="","",Credit_Losses!D12)</f>
        <v/>
      </c>
      <c r="P12" s="12">
        <f>IF(Capital!B12="","",Capital!B12)</f>
        <v>0.22520000000000001</v>
      </c>
      <c r="Q12" s="12">
        <f>IF(Capital!C12="","",Capital!C12)</f>
        <v>0.21510000000000001</v>
      </c>
      <c r="R12" s="13">
        <f>IF(Capital!E12="","",Capital!E12)</f>
        <v>4.9000000000000004</v>
      </c>
      <c r="S12" s="13" t="str">
        <f>IF(Capital!I12="","",Capital!I12)</f>
        <v/>
      </c>
      <c r="T12" s="11">
        <f>IF(Profitability!D12="","",Profitability!D12)</f>
        <v>36258</v>
      </c>
      <c r="U12" s="11">
        <f>IF(Profitability!I12="","",Profitability!I12)</f>
        <v>14451</v>
      </c>
      <c r="V12" s="12">
        <f>IF(Profitability!J12="","",Profitability!J12)</f>
        <v>5.0799999999999998E-2</v>
      </c>
      <c r="W12" s="12">
        <f>IF(Profitability!K12="","",Profitability!K12)</f>
        <v>0.2205</v>
      </c>
      <c r="X12" s="12">
        <f>IF(Profitability!M12="","",Profitability!M12)</f>
        <v>0.33992498207292182</v>
      </c>
      <c r="Y12" s="12">
        <f>IF(Profitability!N12="","",Profitability!N12)</f>
        <v>0.12772353687462076</v>
      </c>
      <c r="Z12" s="11">
        <f>IF(Liquidity!B12="","",Liquidity!B12)</f>
        <v>15668</v>
      </c>
      <c r="AA12" s="14">
        <f>IF(Liquidity!C12="","",Liquidity!C12)</f>
        <v>2.6</v>
      </c>
      <c r="AB12" s="14">
        <f>IF(Liquidity!F12="","",Liquidity!F12)</f>
        <v>0.21</v>
      </c>
      <c r="AC12" s="14">
        <f>IF(Liquidity!L12="","",Liquidity!L12)</f>
        <v>0.59</v>
      </c>
      <c r="AD12" s="14">
        <f>IF(Liquidity!M12="","",Liquidity!M12)</f>
        <v>0.43</v>
      </c>
      <c r="AE12" s="12">
        <f>IF(Profitability!L12="","",Profitability!L12)</f>
        <v>7.7399999999999997E-2</v>
      </c>
    </row>
    <row r="13" spans="1:31" x14ac:dyDescent="0.35">
      <c r="A13" s="9" t="s">
        <v>79</v>
      </c>
      <c r="B13" s="10" t="s">
        <v>71</v>
      </c>
      <c r="C13" s="11">
        <f>IF(AUM!B13="","",AUM!B13)</f>
        <v>416661</v>
      </c>
      <c r="D13" s="12">
        <f>IF(AUM!E13="","",AUM!E13)</f>
        <v>0.260260423755728</v>
      </c>
      <c r="E13" s="12">
        <f>IF(Asset_Quality!B13="","",Asset_Quality!B13)</f>
        <v>9.5999999999999992E-3</v>
      </c>
      <c r="F13" s="12">
        <f>IF(Asset_Quality!C13="","",Asset_Quality!C13)</f>
        <v>4.4000000000000003E-3</v>
      </c>
      <c r="G13" s="11">
        <f>IF(Asset_Quality!D13="","",Asset_Quality!D13)</f>
        <v>3965</v>
      </c>
      <c r="H13" s="11">
        <f>IF(Asset_Quality!E13="","",Asset_Quality!E13)</f>
        <v>1835</v>
      </c>
      <c r="I13" s="12">
        <f>IF(Asset_Quality!F13="","",Asset_Quality!F13)</f>
        <v>0.54</v>
      </c>
      <c r="J13" s="12">
        <f>IF(Stage_ECL!J13="","",Stage_ECL!J13)</f>
        <v>1.3027117328428477E-2</v>
      </c>
      <c r="K13" s="12">
        <f>IF(Stage_ECL!K13="","",Stage_ECL!K13)</f>
        <v>9.5582013706918788E-3</v>
      </c>
      <c r="L13" s="11">
        <f>IF(Credit_Losses!B13="","",Credit_Losses!B13)</f>
        <v>7966</v>
      </c>
      <c r="M13" s="12">
        <f>IF(Credit_Losses!C13="","",Credit_Losses!C13)</f>
        <v>2.1700000000000001E-2</v>
      </c>
      <c r="N13" s="12">
        <f>IF(Credit_Losses!G13="","",Credit_Losses!G13)</f>
        <v>2.1320101274495636E-2</v>
      </c>
      <c r="O13" s="11" t="str">
        <f>IF(Credit_Losses!D13="","",Credit_Losses!D13)</f>
        <v/>
      </c>
      <c r="P13" s="12">
        <f>IF(Capital!B13="","",Capital!B13)</f>
        <v>0.219</v>
      </c>
      <c r="Q13" s="12">
        <f>IF(Capital!C13="","",Capital!C13)</f>
        <v>0.21099999999999999</v>
      </c>
      <c r="R13" s="13">
        <f>IF(Capital!E13="","",Capital!E13)</f>
        <v>4.7</v>
      </c>
      <c r="S13" s="13" t="str">
        <f>IF(Capital!I13="","",Capital!I13)</f>
        <v/>
      </c>
      <c r="T13" s="11">
        <f>IF(Profitability!D13="","",Profitability!D13)</f>
        <v>44954</v>
      </c>
      <c r="U13" s="11">
        <f>IF(Profitability!I13="","",Profitability!I13)</f>
        <v>16779</v>
      </c>
      <c r="V13" s="12">
        <f>IF(Profitability!J13="","",Profitability!J13)</f>
        <v>4.5999999999999999E-2</v>
      </c>
      <c r="W13" s="12">
        <f>IF(Profitability!K13="","",Profitability!K13)</f>
        <v>0.192</v>
      </c>
      <c r="X13" s="12">
        <f>IF(Profitability!M13="","",Profitability!M13)</f>
        <v>0.33202829559104863</v>
      </c>
      <c r="Y13" s="12">
        <f>IF(Profitability!N13="","",Profitability!N13)</f>
        <v>0.17720336343818124</v>
      </c>
      <c r="Z13" s="11">
        <f>IF(Liquidity!B13="","",Liquidity!B13)</f>
        <v>18757</v>
      </c>
      <c r="AA13" s="14">
        <f>IF(Liquidity!C13="","",Liquidity!C13)</f>
        <v>2.88</v>
      </c>
      <c r="AB13" s="14">
        <f>IF(Liquidity!F13="","",Liquidity!F13)</f>
        <v>0.2</v>
      </c>
      <c r="AC13" s="14">
        <f>IF(Liquidity!L13="","",Liquidity!L13)</f>
        <v>0.56000000000000005</v>
      </c>
      <c r="AD13" s="14">
        <f>IF(Liquidity!M13="","",Liquidity!M13)</f>
        <v>0.56999999999999995</v>
      </c>
      <c r="AE13" s="12">
        <f>IF(Profitability!L13="","",Profitability!L13)</f>
        <v>7.9699999999999993E-2</v>
      </c>
    </row>
    <row r="14" spans="1:31" x14ac:dyDescent="0.35">
      <c r="A14" s="9" t="s">
        <v>80</v>
      </c>
      <c r="B14" s="10" t="s">
        <v>71</v>
      </c>
      <c r="C14" s="11">
        <f>IF(AUM!B14="","",AUM!B14)</f>
        <v>509975</v>
      </c>
      <c r="D14" s="12">
        <f>IF(AUM!E14="","",AUM!E14)</f>
        <v>0.22395664581038299</v>
      </c>
      <c r="E14" s="12">
        <f>IF(Asset_Quality!B14="","",Asset_Quality!B14)</f>
        <v>1.01E-2</v>
      </c>
      <c r="F14" s="12">
        <f>IF(Asset_Quality!C14="","",Asset_Quality!C14)</f>
        <v>4.1000000000000003E-3</v>
      </c>
      <c r="G14" s="11">
        <f>IF(Asset_Quality!D14="","",Asset_Quality!D14)</f>
        <v>5119</v>
      </c>
      <c r="H14" s="11">
        <f>IF(Asset_Quality!E14="","",Asset_Quality!E14)</f>
        <v>2062</v>
      </c>
      <c r="I14" s="12">
        <f>IF(Asset_Quality!F14="","",Asset_Quality!F14)</f>
        <v>0.6</v>
      </c>
      <c r="J14" s="12">
        <f>IF(Stage_ECL!J14="","",Stage_ECL!J14)</f>
        <v>9.3589713379048159E-3</v>
      </c>
      <c r="K14" s="12">
        <f>IF(Stage_ECL!K14="","",Stage_ECL!K14)</f>
        <v>1.0052155744593947E-2</v>
      </c>
      <c r="L14" s="11">
        <f>IF(Credit_Losses!B14="","",Credit_Losses!B14)</f>
        <v>10282</v>
      </c>
      <c r="M14" s="12">
        <f>IF(Credit_Losses!C14="","",Credit_Losses!C14)</f>
        <v>2.2700000000000001E-2</v>
      </c>
      <c r="N14" s="12">
        <f>IF(Credit_Losses!G14="","",Credit_Losses!G14)</f>
        <v>2.2192101321338691E-2</v>
      </c>
      <c r="O14" s="11" t="str">
        <f>IF(Credit_Losses!D14="","",Credit_Losses!D14)</f>
        <v/>
      </c>
      <c r="P14" s="12">
        <f>IF(Capital!B14="","",Capital!B14)</f>
        <v>0.2155</v>
      </c>
      <c r="Q14" s="12">
        <f>IF(Capital!C14="","",Capital!C14)</f>
        <v>0.20669999999999999</v>
      </c>
      <c r="R14" s="13">
        <f>IF(Capital!E14="","",Capital!E14)</f>
        <v>4.8</v>
      </c>
      <c r="S14" s="13" t="str">
        <f>IF(Capital!I14="","",Capital!I14)</f>
        <v/>
      </c>
      <c r="T14" s="11">
        <f>IF(Profitability!D14="","",Profitability!D14)</f>
        <v>54123</v>
      </c>
      <c r="U14" s="11">
        <f>IF(Profitability!I14="","",Profitability!I14)</f>
        <v>19332</v>
      </c>
      <c r="V14" s="12">
        <f>IF(Profitability!J14="","",Profitability!J14)</f>
        <v>4.2999999999999997E-2</v>
      </c>
      <c r="W14" s="12">
        <f>IF(Profitability!K14="","",Profitability!K14)</f>
        <v>0.18099999999999999</v>
      </c>
      <c r="X14" s="12">
        <f>IF(Profitability!M14="","",Profitability!M14)</f>
        <v>0.32843707850636511</v>
      </c>
      <c r="Y14" s="12">
        <f>IF(Profitability!N14="","",Profitability!N14)</f>
        <v>0.18997468728636624</v>
      </c>
      <c r="Z14" s="11">
        <f>IF(Liquidity!B14="","",Liquidity!B14)</f>
        <v>15020</v>
      </c>
      <c r="AA14" s="14">
        <f>IF(Liquidity!C14="","",Liquidity!C14)</f>
        <v>2.2799999999999998</v>
      </c>
      <c r="AB14" s="14">
        <f>IF(Liquidity!F14="","",Liquidity!F14)</f>
        <v>0.16</v>
      </c>
      <c r="AC14" s="14">
        <f>IF(Liquidity!L14="","",Liquidity!L14)</f>
        <v>0.36</v>
      </c>
      <c r="AD14" s="14">
        <f>IF(Liquidity!M14="","",Liquidity!M14)</f>
        <v>0.49</v>
      </c>
      <c r="AE14" s="12">
        <f>IF(Profitability!L14="","",Profitability!L14)</f>
        <v>7.5399999999999995E-2</v>
      </c>
    </row>
    <row r="16" spans="1:31" x14ac:dyDescent="0.35">
      <c r="A16" s="7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5" customWidth="1"/>
    <col min="3" max="3" width="30" customWidth="1"/>
    <col min="4" max="4" width="34" customWidth="1"/>
    <col min="5" max="5" width="52" customWidth="1"/>
    <col min="6" max="6" width="48" customWidth="1"/>
    <col min="7" max="7" width="22" customWidth="1"/>
  </cols>
  <sheetData>
    <row r="1" spans="1:7" ht="18" x14ac:dyDescent="0.4">
      <c r="A1" s="1" t="s">
        <v>82</v>
      </c>
    </row>
    <row r="2" spans="1:7" x14ac:dyDescent="0.35">
      <c r="A2" s="7" t="s">
        <v>83</v>
      </c>
    </row>
    <row r="4" spans="1:7" x14ac:dyDescent="0.35">
      <c r="A4" s="8" t="s">
        <v>84</v>
      </c>
      <c r="B4" s="8" t="s">
        <v>11</v>
      </c>
      <c r="C4" s="8" t="s">
        <v>85</v>
      </c>
      <c r="D4" s="8" t="s">
        <v>86</v>
      </c>
      <c r="E4" s="8" t="s">
        <v>87</v>
      </c>
      <c r="F4" s="8" t="s">
        <v>88</v>
      </c>
      <c r="G4" s="8" t="s">
        <v>89</v>
      </c>
    </row>
    <row r="5" spans="1:7" ht="29" x14ac:dyDescent="0.35">
      <c r="A5" s="15">
        <v>1</v>
      </c>
      <c r="B5" s="15" t="s">
        <v>17</v>
      </c>
      <c r="C5" s="15" t="s">
        <v>42</v>
      </c>
      <c r="D5" s="15" t="s">
        <v>90</v>
      </c>
      <c r="E5" s="15" t="s">
        <v>91</v>
      </c>
      <c r="F5" s="16" t="s">
        <v>92</v>
      </c>
      <c r="G5" s="15" t="s">
        <v>93</v>
      </c>
    </row>
    <row r="6" spans="1:7" x14ac:dyDescent="0.35">
      <c r="A6" s="15">
        <v>2</v>
      </c>
      <c r="B6" s="15" t="s">
        <v>17</v>
      </c>
      <c r="C6" s="15" t="s">
        <v>94</v>
      </c>
      <c r="D6" s="15" t="s">
        <v>95</v>
      </c>
      <c r="E6" s="15" t="s">
        <v>96</v>
      </c>
      <c r="F6" s="16" t="s">
        <v>97</v>
      </c>
      <c r="G6" s="15" t="s">
        <v>98</v>
      </c>
    </row>
    <row r="7" spans="1:7" ht="29" x14ac:dyDescent="0.35">
      <c r="A7" s="15">
        <v>3</v>
      </c>
      <c r="B7" s="15" t="s">
        <v>17</v>
      </c>
      <c r="C7" s="15" t="s">
        <v>99</v>
      </c>
      <c r="D7" s="15" t="s">
        <v>100</v>
      </c>
      <c r="E7" s="15" t="s">
        <v>101</v>
      </c>
      <c r="F7" s="16" t="s">
        <v>102</v>
      </c>
      <c r="G7" s="15" t="s">
        <v>103</v>
      </c>
    </row>
    <row r="8" spans="1:7" ht="29" x14ac:dyDescent="0.35">
      <c r="A8" s="15">
        <v>4</v>
      </c>
      <c r="B8" s="15" t="s">
        <v>17</v>
      </c>
      <c r="C8" s="15" t="s">
        <v>104</v>
      </c>
      <c r="D8" s="15" t="s">
        <v>105</v>
      </c>
      <c r="E8" s="15" t="s">
        <v>106</v>
      </c>
      <c r="F8" s="16" t="s">
        <v>107</v>
      </c>
      <c r="G8" s="15" t="s">
        <v>108</v>
      </c>
    </row>
    <row r="9" spans="1:7" ht="29" x14ac:dyDescent="0.35">
      <c r="A9" s="15">
        <v>5</v>
      </c>
      <c r="B9" s="15" t="s">
        <v>19</v>
      </c>
      <c r="C9" s="15" t="s">
        <v>109</v>
      </c>
      <c r="D9" s="15" t="s">
        <v>110</v>
      </c>
      <c r="E9" s="15" t="s">
        <v>111</v>
      </c>
      <c r="F9" s="16" t="s">
        <v>112</v>
      </c>
      <c r="G9" s="15" t="s">
        <v>113</v>
      </c>
    </row>
    <row r="10" spans="1:7" x14ac:dyDescent="0.35">
      <c r="A10" s="15">
        <v>6</v>
      </c>
      <c r="B10" s="15" t="s">
        <v>19</v>
      </c>
      <c r="C10" s="15" t="s">
        <v>114</v>
      </c>
      <c r="D10" s="15" t="s">
        <v>115</v>
      </c>
      <c r="E10" s="15" t="s">
        <v>116</v>
      </c>
      <c r="F10" s="16" t="s">
        <v>117</v>
      </c>
      <c r="G10" s="15" t="s">
        <v>118</v>
      </c>
    </row>
    <row r="11" spans="1:7" ht="29" x14ac:dyDescent="0.35">
      <c r="A11" s="15">
        <v>7</v>
      </c>
      <c r="B11" s="15" t="s">
        <v>19</v>
      </c>
      <c r="C11" s="15" t="s">
        <v>119</v>
      </c>
      <c r="D11" s="15" t="s">
        <v>120</v>
      </c>
      <c r="E11" s="15" t="s">
        <v>121</v>
      </c>
      <c r="F11" s="16" t="s">
        <v>122</v>
      </c>
      <c r="G11" s="15" t="s">
        <v>123</v>
      </c>
    </row>
    <row r="12" spans="1:7" x14ac:dyDescent="0.35">
      <c r="A12" s="15">
        <v>8</v>
      </c>
      <c r="B12" s="15" t="s">
        <v>19</v>
      </c>
      <c r="C12" s="15" t="s">
        <v>124</v>
      </c>
      <c r="D12" s="15" t="s">
        <v>125</v>
      </c>
      <c r="E12" s="15" t="s">
        <v>126</v>
      </c>
      <c r="F12" s="16" t="s">
        <v>127</v>
      </c>
      <c r="G12" s="15" t="s">
        <v>128</v>
      </c>
    </row>
    <row r="13" spans="1:7" x14ac:dyDescent="0.35">
      <c r="A13" s="15">
        <v>9</v>
      </c>
      <c r="B13" s="15" t="s">
        <v>21</v>
      </c>
      <c r="C13" s="15" t="s">
        <v>129</v>
      </c>
      <c r="D13" s="15" t="s">
        <v>130</v>
      </c>
      <c r="E13" s="15" t="s">
        <v>131</v>
      </c>
      <c r="F13" s="16" t="s">
        <v>132</v>
      </c>
      <c r="G13" s="15" t="s">
        <v>133</v>
      </c>
    </row>
    <row r="14" spans="1:7" x14ac:dyDescent="0.35">
      <c r="A14" s="15">
        <v>10</v>
      </c>
      <c r="B14" s="15" t="s">
        <v>21</v>
      </c>
      <c r="C14" s="15" t="s">
        <v>134</v>
      </c>
      <c r="D14" s="15" t="s">
        <v>135</v>
      </c>
      <c r="E14" s="15" t="s">
        <v>136</v>
      </c>
      <c r="F14" s="16" t="s">
        <v>97</v>
      </c>
      <c r="G14" s="15" t="s">
        <v>137</v>
      </c>
    </row>
    <row r="15" spans="1:7" x14ac:dyDescent="0.35">
      <c r="A15" s="15">
        <v>11</v>
      </c>
      <c r="B15" s="15" t="s">
        <v>23</v>
      </c>
      <c r="C15" s="15" t="s">
        <v>138</v>
      </c>
      <c r="D15" s="15" t="s">
        <v>139</v>
      </c>
      <c r="E15" s="15" t="s">
        <v>140</v>
      </c>
      <c r="F15" s="16" t="s">
        <v>141</v>
      </c>
      <c r="G15" s="15" t="s">
        <v>142</v>
      </c>
    </row>
    <row r="16" spans="1:7" x14ac:dyDescent="0.35">
      <c r="A16" s="15">
        <v>12</v>
      </c>
      <c r="B16" s="15" t="s">
        <v>23</v>
      </c>
      <c r="C16" s="15" t="s">
        <v>143</v>
      </c>
      <c r="D16" s="15" t="s">
        <v>144</v>
      </c>
      <c r="E16" s="15" t="s">
        <v>145</v>
      </c>
      <c r="F16" s="16" t="s">
        <v>146</v>
      </c>
      <c r="G16" s="15" t="s">
        <v>147</v>
      </c>
    </row>
    <row r="17" spans="1:7" x14ac:dyDescent="0.35">
      <c r="A17" s="15">
        <v>13</v>
      </c>
      <c r="B17" s="15" t="s">
        <v>23</v>
      </c>
      <c r="C17" s="15" t="s">
        <v>48</v>
      </c>
      <c r="D17" s="15" t="s">
        <v>148</v>
      </c>
      <c r="E17" s="15" t="s">
        <v>149</v>
      </c>
      <c r="F17" s="16" t="s">
        <v>150</v>
      </c>
      <c r="G17" s="15" t="s">
        <v>151</v>
      </c>
    </row>
    <row r="18" spans="1:7" x14ac:dyDescent="0.35">
      <c r="A18" s="15">
        <v>14</v>
      </c>
      <c r="B18" s="15" t="s">
        <v>23</v>
      </c>
      <c r="C18" s="15" t="s">
        <v>49</v>
      </c>
      <c r="D18" s="15" t="s">
        <v>152</v>
      </c>
      <c r="E18" s="15" t="s">
        <v>153</v>
      </c>
      <c r="F18" s="16" t="s">
        <v>154</v>
      </c>
      <c r="G18" s="15" t="s">
        <v>155</v>
      </c>
    </row>
    <row r="19" spans="1:7" x14ac:dyDescent="0.35">
      <c r="A19" s="15">
        <v>15</v>
      </c>
      <c r="B19" s="15" t="s">
        <v>23</v>
      </c>
      <c r="C19" s="15" t="s">
        <v>156</v>
      </c>
      <c r="D19" s="15" t="s">
        <v>157</v>
      </c>
      <c r="E19" s="15" t="s">
        <v>158</v>
      </c>
      <c r="F19" s="16" t="s">
        <v>159</v>
      </c>
      <c r="G19" s="15" t="s">
        <v>160</v>
      </c>
    </row>
    <row r="20" spans="1:7" x14ac:dyDescent="0.35">
      <c r="A20" s="15">
        <v>16</v>
      </c>
      <c r="B20" s="15" t="s">
        <v>23</v>
      </c>
      <c r="C20" s="15" t="s">
        <v>161</v>
      </c>
      <c r="D20" s="15" t="s">
        <v>162</v>
      </c>
      <c r="E20" s="15" t="s">
        <v>163</v>
      </c>
      <c r="F20" s="16" t="s">
        <v>164</v>
      </c>
      <c r="G20" s="15" t="s">
        <v>165</v>
      </c>
    </row>
    <row r="21" spans="1:7" x14ac:dyDescent="0.35">
      <c r="A21" s="15">
        <v>17</v>
      </c>
      <c r="B21" s="15" t="s">
        <v>23</v>
      </c>
      <c r="C21" s="15" t="s">
        <v>166</v>
      </c>
      <c r="D21" s="15" t="s">
        <v>167</v>
      </c>
      <c r="E21" s="15" t="s">
        <v>168</v>
      </c>
      <c r="F21" s="16" t="s">
        <v>169</v>
      </c>
      <c r="G21" s="15" t="s">
        <v>170</v>
      </c>
    </row>
    <row r="22" spans="1:7" ht="29" x14ac:dyDescent="0.35">
      <c r="A22" s="15">
        <v>18</v>
      </c>
      <c r="B22" s="15" t="s">
        <v>25</v>
      </c>
      <c r="C22" s="15" t="s">
        <v>171</v>
      </c>
      <c r="D22" s="15" t="s">
        <v>172</v>
      </c>
      <c r="E22" s="15" t="s">
        <v>173</v>
      </c>
      <c r="F22" s="16" t="s">
        <v>174</v>
      </c>
      <c r="G22" s="15" t="s">
        <v>175</v>
      </c>
    </row>
    <row r="23" spans="1:7" ht="29" x14ac:dyDescent="0.35">
      <c r="A23" s="15">
        <v>19</v>
      </c>
      <c r="B23" s="15" t="s">
        <v>25</v>
      </c>
      <c r="C23" s="15" t="s">
        <v>176</v>
      </c>
      <c r="D23" s="15" t="s">
        <v>177</v>
      </c>
      <c r="E23" s="15" t="s">
        <v>178</v>
      </c>
      <c r="F23" s="16" t="s">
        <v>179</v>
      </c>
      <c r="G23" s="15" t="s">
        <v>180</v>
      </c>
    </row>
    <row r="24" spans="1:7" x14ac:dyDescent="0.35">
      <c r="A24" s="15">
        <v>20</v>
      </c>
      <c r="B24" s="15" t="s">
        <v>25</v>
      </c>
      <c r="C24" s="15" t="s">
        <v>181</v>
      </c>
      <c r="D24" s="15" t="s">
        <v>182</v>
      </c>
      <c r="E24" s="15" t="s">
        <v>183</v>
      </c>
      <c r="F24" s="16" t="s">
        <v>92</v>
      </c>
      <c r="G24" s="15" t="s">
        <v>184</v>
      </c>
    </row>
    <row r="25" spans="1:7" x14ac:dyDescent="0.35">
      <c r="A25" s="15">
        <v>21</v>
      </c>
      <c r="B25" s="15" t="s">
        <v>27</v>
      </c>
      <c r="C25" s="15" t="s">
        <v>185</v>
      </c>
      <c r="D25" s="15" t="s">
        <v>186</v>
      </c>
      <c r="E25" s="15" t="s">
        <v>187</v>
      </c>
      <c r="F25" s="16" t="s">
        <v>188</v>
      </c>
      <c r="G25" s="15" t="s">
        <v>189</v>
      </c>
    </row>
    <row r="26" spans="1:7" x14ac:dyDescent="0.35">
      <c r="A26" s="15">
        <v>22</v>
      </c>
      <c r="B26" s="15" t="s">
        <v>27</v>
      </c>
      <c r="C26" s="15" t="s">
        <v>57</v>
      </c>
      <c r="D26" s="15" t="s">
        <v>190</v>
      </c>
      <c r="E26" s="15" t="s">
        <v>191</v>
      </c>
      <c r="F26" s="16" t="s">
        <v>192</v>
      </c>
      <c r="G26" s="15" t="s">
        <v>193</v>
      </c>
    </row>
    <row r="27" spans="1:7" x14ac:dyDescent="0.35">
      <c r="A27" s="15">
        <v>23</v>
      </c>
      <c r="B27" s="15" t="s">
        <v>27</v>
      </c>
      <c r="C27" s="15" t="s">
        <v>194</v>
      </c>
      <c r="D27" s="15" t="s">
        <v>195</v>
      </c>
      <c r="E27" s="15" t="s">
        <v>196</v>
      </c>
      <c r="F27" s="16" t="s">
        <v>197</v>
      </c>
      <c r="G27" s="15" t="s">
        <v>198</v>
      </c>
    </row>
    <row r="28" spans="1:7" x14ac:dyDescent="0.35">
      <c r="A28" s="15">
        <v>24</v>
      </c>
      <c r="B28" s="15" t="s">
        <v>29</v>
      </c>
      <c r="C28" s="15" t="s">
        <v>199</v>
      </c>
      <c r="D28" s="15" t="s">
        <v>200</v>
      </c>
      <c r="E28" s="15" t="s">
        <v>201</v>
      </c>
      <c r="F28" s="16" t="s">
        <v>202</v>
      </c>
      <c r="G28" s="15" t="s">
        <v>203</v>
      </c>
    </row>
    <row r="29" spans="1:7" x14ac:dyDescent="0.35">
      <c r="A29" s="15">
        <v>25</v>
      </c>
      <c r="B29" s="15" t="s">
        <v>29</v>
      </c>
      <c r="C29" s="15" t="s">
        <v>204</v>
      </c>
      <c r="D29" s="15" t="s">
        <v>205</v>
      </c>
      <c r="E29" s="15" t="s">
        <v>206</v>
      </c>
      <c r="F29" s="16" t="s">
        <v>207</v>
      </c>
      <c r="G29" s="15" t="s">
        <v>208</v>
      </c>
    </row>
    <row r="30" spans="1:7" x14ac:dyDescent="0.35">
      <c r="A30" s="15">
        <v>26</v>
      </c>
      <c r="B30" s="15" t="s">
        <v>29</v>
      </c>
      <c r="C30" s="15" t="s">
        <v>209</v>
      </c>
      <c r="D30" s="15" t="s">
        <v>210</v>
      </c>
      <c r="E30" s="15" t="s">
        <v>211</v>
      </c>
      <c r="F30" s="16" t="s">
        <v>212</v>
      </c>
      <c r="G30" s="15" t="s">
        <v>213</v>
      </c>
    </row>
    <row r="31" spans="1:7" x14ac:dyDescent="0.35">
      <c r="A31" s="15">
        <v>27</v>
      </c>
      <c r="B31" s="15" t="s">
        <v>29</v>
      </c>
      <c r="C31" s="15" t="s">
        <v>214</v>
      </c>
      <c r="D31" s="15" t="s">
        <v>215</v>
      </c>
      <c r="E31" s="15" t="s">
        <v>216</v>
      </c>
      <c r="F31" s="16" t="s">
        <v>217</v>
      </c>
      <c r="G31" s="15" t="s">
        <v>218</v>
      </c>
    </row>
    <row r="32" spans="1:7" x14ac:dyDescent="0.35">
      <c r="A32" s="15">
        <v>28</v>
      </c>
      <c r="B32" s="15" t="s">
        <v>29</v>
      </c>
      <c r="C32" s="15" t="s">
        <v>219</v>
      </c>
      <c r="D32" s="15" t="s">
        <v>220</v>
      </c>
      <c r="E32" s="15" t="s">
        <v>221</v>
      </c>
      <c r="F32" s="16" t="s">
        <v>222</v>
      </c>
      <c r="G32" s="15" t="s">
        <v>223</v>
      </c>
    </row>
    <row r="33" spans="1:7" ht="29" x14ac:dyDescent="0.35">
      <c r="A33" s="15">
        <v>29</v>
      </c>
      <c r="B33" s="15" t="s">
        <v>31</v>
      </c>
      <c r="C33" s="15" t="s">
        <v>224</v>
      </c>
      <c r="D33" s="15" t="s">
        <v>225</v>
      </c>
      <c r="E33" s="15" t="s">
        <v>226</v>
      </c>
      <c r="F33" s="16" t="s">
        <v>227</v>
      </c>
      <c r="G33" s="15" t="s">
        <v>228</v>
      </c>
    </row>
    <row r="34" spans="1:7" x14ac:dyDescent="0.35">
      <c r="A34" s="15">
        <v>30</v>
      </c>
      <c r="B34" s="15" t="s">
        <v>31</v>
      </c>
      <c r="C34" s="15" t="s">
        <v>69</v>
      </c>
      <c r="D34" s="15" t="s">
        <v>229</v>
      </c>
      <c r="E34" s="15" t="s">
        <v>230</v>
      </c>
      <c r="F34" s="16" t="s">
        <v>231</v>
      </c>
      <c r="G34" s="15" t="s">
        <v>232</v>
      </c>
    </row>
    <row r="35" spans="1:7" ht="29" x14ac:dyDescent="0.35">
      <c r="A35" s="15">
        <v>31</v>
      </c>
      <c r="B35" s="15" t="s">
        <v>31</v>
      </c>
      <c r="C35" s="15" t="s">
        <v>233</v>
      </c>
      <c r="D35" s="15" t="s">
        <v>234</v>
      </c>
      <c r="E35" s="15" t="s">
        <v>235</v>
      </c>
      <c r="F35" s="16" t="s">
        <v>236</v>
      </c>
      <c r="G35" s="15" t="s">
        <v>237</v>
      </c>
    </row>
    <row r="36" spans="1:7" x14ac:dyDescent="0.35">
      <c r="A36" s="15">
        <v>32</v>
      </c>
      <c r="B36" s="15" t="s">
        <v>31</v>
      </c>
      <c r="C36" s="15" t="s">
        <v>238</v>
      </c>
      <c r="D36" s="15" t="s">
        <v>239</v>
      </c>
      <c r="E36" s="15" t="s">
        <v>240</v>
      </c>
      <c r="F36" s="16" t="s">
        <v>241</v>
      </c>
      <c r="G36" s="15" t="s">
        <v>242</v>
      </c>
    </row>
    <row r="37" spans="1:7" x14ac:dyDescent="0.35">
      <c r="A37" s="15">
        <v>33</v>
      </c>
      <c r="B37" s="15" t="s">
        <v>31</v>
      </c>
      <c r="C37" s="15" t="s">
        <v>243</v>
      </c>
      <c r="D37" s="15" t="s">
        <v>244</v>
      </c>
      <c r="E37" s="15" t="s">
        <v>126</v>
      </c>
      <c r="F37" s="16" t="s">
        <v>245</v>
      </c>
      <c r="G37" s="15" t="s">
        <v>246</v>
      </c>
    </row>
    <row r="38" spans="1:7" ht="29" x14ac:dyDescent="0.35">
      <c r="A38" s="15">
        <v>34</v>
      </c>
      <c r="B38" s="15" t="s">
        <v>15</v>
      </c>
      <c r="C38" s="15" t="s">
        <v>247</v>
      </c>
      <c r="D38" s="15" t="s">
        <v>248</v>
      </c>
      <c r="E38" s="15" t="s">
        <v>249</v>
      </c>
      <c r="F38" s="16" t="s">
        <v>250</v>
      </c>
      <c r="G38" s="15" t="s">
        <v>251</v>
      </c>
    </row>
    <row r="39" spans="1:7" ht="29" x14ac:dyDescent="0.35">
      <c r="A39" s="15">
        <v>35</v>
      </c>
      <c r="B39" s="15" t="s">
        <v>252</v>
      </c>
      <c r="C39" s="15" t="s">
        <v>253</v>
      </c>
      <c r="D39" s="15" t="s">
        <v>254</v>
      </c>
      <c r="E39" s="15" t="s">
        <v>255</v>
      </c>
      <c r="F39" s="16"/>
      <c r="G39" s="15"/>
    </row>
    <row r="40" spans="1:7" ht="29" x14ac:dyDescent="0.35">
      <c r="A40" s="15">
        <v>36</v>
      </c>
      <c r="B40" s="15" t="s">
        <v>252</v>
      </c>
      <c r="C40" s="15" t="s">
        <v>256</v>
      </c>
      <c r="D40" s="15" t="s">
        <v>257</v>
      </c>
      <c r="E40" s="15" t="s">
        <v>258</v>
      </c>
      <c r="F40" s="16"/>
      <c r="G40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8" width="15" customWidth="1"/>
    <col min="9" max="9" width="30" customWidth="1"/>
  </cols>
  <sheetData>
    <row r="1" spans="1:9" ht="18" x14ac:dyDescent="0.4">
      <c r="A1" s="1" t="s">
        <v>259</v>
      </c>
    </row>
    <row r="2" spans="1:9" x14ac:dyDescent="0.35">
      <c r="A2" s="7" t="s">
        <v>260</v>
      </c>
    </row>
    <row r="4" spans="1:9" ht="48" customHeight="1" x14ac:dyDescent="0.35">
      <c r="A4" s="8" t="s">
        <v>39</v>
      </c>
      <c r="B4" s="8" t="s">
        <v>261</v>
      </c>
      <c r="C4" s="8" t="s">
        <v>262</v>
      </c>
      <c r="D4" s="8" t="s">
        <v>263</v>
      </c>
      <c r="E4" s="17" t="s">
        <v>42</v>
      </c>
      <c r="F4" s="17" t="s">
        <v>94</v>
      </c>
      <c r="G4" s="17" t="s">
        <v>99</v>
      </c>
      <c r="H4" s="17" t="s">
        <v>104</v>
      </c>
      <c r="I4" s="8" t="s">
        <v>264</v>
      </c>
    </row>
    <row r="5" spans="1:9" x14ac:dyDescent="0.35">
      <c r="A5" s="9" t="s">
        <v>70</v>
      </c>
      <c r="B5" s="18">
        <v>60196</v>
      </c>
      <c r="C5" s="18">
        <v>60196</v>
      </c>
      <c r="D5" s="19"/>
      <c r="E5" s="20"/>
      <c r="F5" s="21"/>
      <c r="G5" s="21"/>
      <c r="H5" s="22">
        <f t="shared" ref="H5:H14" si="0">IF(OR(C5=""),"",1-C5/B5)</f>
        <v>0</v>
      </c>
      <c r="I5" s="23" t="s">
        <v>265</v>
      </c>
    </row>
    <row r="6" spans="1:9" x14ac:dyDescent="0.35">
      <c r="A6" s="9" t="s">
        <v>72</v>
      </c>
      <c r="B6" s="18">
        <v>82422</v>
      </c>
      <c r="C6" s="18">
        <v>78852</v>
      </c>
      <c r="D6" s="18">
        <v>80633</v>
      </c>
      <c r="E6" s="22">
        <f t="shared" ref="E6:E14" si="1">B6/B5-1</f>
        <v>0.36922719117549341</v>
      </c>
      <c r="F6" s="24">
        <f t="shared" ref="F6:F14" si="2">B6-B5</f>
        <v>22226</v>
      </c>
      <c r="G6" s="24">
        <f t="shared" ref="G6:G14" si="3">AVERAGE(B6,B5)</f>
        <v>71309</v>
      </c>
      <c r="H6" s="22">
        <f t="shared" si="0"/>
        <v>4.3313678386838417E-2</v>
      </c>
      <c r="I6" s="23" t="s">
        <v>266</v>
      </c>
    </row>
    <row r="7" spans="1:9" x14ac:dyDescent="0.35">
      <c r="A7" s="9" t="s">
        <v>73</v>
      </c>
      <c r="B7" s="18">
        <v>115888</v>
      </c>
      <c r="C7" s="18">
        <v>98671</v>
      </c>
      <c r="D7" s="18">
        <v>114570</v>
      </c>
      <c r="E7" s="22">
        <f t="shared" si="1"/>
        <v>0.4060323699983015</v>
      </c>
      <c r="F7" s="24">
        <f t="shared" si="2"/>
        <v>33466</v>
      </c>
      <c r="G7" s="24">
        <f t="shared" si="3"/>
        <v>99155</v>
      </c>
      <c r="H7" s="22">
        <f t="shared" si="0"/>
        <v>0.14856585668921718</v>
      </c>
      <c r="I7" s="23" t="s">
        <v>267</v>
      </c>
    </row>
    <row r="8" spans="1:9" x14ac:dyDescent="0.35">
      <c r="A8" s="9" t="s">
        <v>74</v>
      </c>
      <c r="B8" s="18">
        <v>147153</v>
      </c>
      <c r="C8" s="18">
        <v>116102</v>
      </c>
      <c r="D8" s="18">
        <v>145100</v>
      </c>
      <c r="E8" s="22">
        <f t="shared" si="1"/>
        <v>0.26978634543697355</v>
      </c>
      <c r="F8" s="24">
        <f t="shared" si="2"/>
        <v>31265</v>
      </c>
      <c r="G8" s="24">
        <f t="shared" si="3"/>
        <v>131520.5</v>
      </c>
      <c r="H8" s="22">
        <f t="shared" si="0"/>
        <v>0.21101166812773098</v>
      </c>
      <c r="I8" s="23" t="s">
        <v>268</v>
      </c>
    </row>
    <row r="9" spans="1:9" x14ac:dyDescent="0.35">
      <c r="A9" s="9" t="s">
        <v>75</v>
      </c>
      <c r="B9" s="18">
        <v>152947</v>
      </c>
      <c r="C9" s="18">
        <v>115418</v>
      </c>
      <c r="D9" s="18">
        <v>150995</v>
      </c>
      <c r="E9" s="22">
        <f t="shared" si="1"/>
        <v>3.9373984900070047E-2</v>
      </c>
      <c r="F9" s="24">
        <f t="shared" si="2"/>
        <v>5794</v>
      </c>
      <c r="G9" s="24">
        <f t="shared" si="3"/>
        <v>150050</v>
      </c>
      <c r="H9" s="22">
        <f t="shared" si="0"/>
        <v>0.24537258004406759</v>
      </c>
      <c r="I9" s="23" t="s">
        <v>269</v>
      </c>
    </row>
    <row r="10" spans="1:9" x14ac:dyDescent="0.35">
      <c r="A10" s="9" t="s">
        <v>76</v>
      </c>
      <c r="B10" s="18">
        <v>197452</v>
      </c>
      <c r="C10" s="19"/>
      <c r="D10" s="18">
        <v>195828</v>
      </c>
      <c r="E10" s="22">
        <f t="shared" si="1"/>
        <v>0.29098315102617245</v>
      </c>
      <c r="F10" s="24">
        <f t="shared" si="2"/>
        <v>44505</v>
      </c>
      <c r="G10" s="24">
        <f t="shared" si="3"/>
        <v>175199.5</v>
      </c>
      <c r="H10" s="22" t="str">
        <f t="shared" si="0"/>
        <v/>
      </c>
      <c r="I10" s="23" t="s">
        <v>270</v>
      </c>
    </row>
    <row r="11" spans="1:9" x14ac:dyDescent="0.35">
      <c r="A11" s="9" t="s">
        <v>77</v>
      </c>
      <c r="B11" s="18">
        <v>247379</v>
      </c>
      <c r="C11" s="18">
        <v>180999</v>
      </c>
      <c r="D11" s="18">
        <v>242269</v>
      </c>
      <c r="E11" s="22">
        <f t="shared" si="1"/>
        <v>0.25285639041387276</v>
      </c>
      <c r="F11" s="24">
        <f t="shared" si="2"/>
        <v>49927</v>
      </c>
      <c r="G11" s="24">
        <f t="shared" si="3"/>
        <v>222415.5</v>
      </c>
      <c r="H11" s="22">
        <f t="shared" si="0"/>
        <v>0.26833320532462335</v>
      </c>
      <c r="I11" s="23" t="s">
        <v>271</v>
      </c>
    </row>
    <row r="12" spans="1:9" x14ac:dyDescent="0.35">
      <c r="A12" s="9" t="s">
        <v>78</v>
      </c>
      <c r="B12" s="18">
        <v>330615</v>
      </c>
      <c r="C12" s="18">
        <v>244826</v>
      </c>
      <c r="D12" s="18">
        <v>326293</v>
      </c>
      <c r="E12" s="22">
        <f t="shared" si="1"/>
        <v>0.33647156791805277</v>
      </c>
      <c r="F12" s="24">
        <f t="shared" si="2"/>
        <v>83236</v>
      </c>
      <c r="G12" s="24">
        <f t="shared" si="3"/>
        <v>288997</v>
      </c>
      <c r="H12" s="22">
        <f t="shared" si="0"/>
        <v>0.25948308455454228</v>
      </c>
      <c r="I12" s="23" t="s">
        <v>271</v>
      </c>
    </row>
    <row r="13" spans="1:9" x14ac:dyDescent="0.35">
      <c r="A13" s="9" t="s">
        <v>79</v>
      </c>
      <c r="B13" s="18">
        <v>416661</v>
      </c>
      <c r="C13" s="18">
        <v>308832</v>
      </c>
      <c r="D13" s="18">
        <v>407844</v>
      </c>
      <c r="E13" s="22">
        <f t="shared" si="1"/>
        <v>0.260260423755728</v>
      </c>
      <c r="F13" s="24">
        <f t="shared" si="2"/>
        <v>86046</v>
      </c>
      <c r="G13" s="24">
        <f t="shared" si="3"/>
        <v>373638</v>
      </c>
      <c r="H13" s="22">
        <f t="shared" si="0"/>
        <v>0.25879311958642637</v>
      </c>
      <c r="I13" s="23" t="s">
        <v>272</v>
      </c>
    </row>
    <row r="14" spans="1:9" x14ac:dyDescent="0.35">
      <c r="A14" s="9" t="s">
        <v>80</v>
      </c>
      <c r="B14" s="18">
        <v>509975</v>
      </c>
      <c r="C14" s="18">
        <v>372986</v>
      </c>
      <c r="D14" s="18">
        <v>498944</v>
      </c>
      <c r="E14" s="22">
        <f t="shared" si="1"/>
        <v>0.22395664581038299</v>
      </c>
      <c r="F14" s="24">
        <f t="shared" si="2"/>
        <v>93314</v>
      </c>
      <c r="G14" s="24">
        <f t="shared" si="3"/>
        <v>463318</v>
      </c>
      <c r="H14" s="22">
        <f t="shared" si="0"/>
        <v>0.26861904995342911</v>
      </c>
      <c r="I14" s="23" t="s">
        <v>272</v>
      </c>
    </row>
    <row r="16" spans="1:9" x14ac:dyDescent="0.35">
      <c r="A16" s="7" t="s">
        <v>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6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26" customWidth="1"/>
    <col min="2" max="2" width="13" customWidth="1"/>
    <col min="3" max="3" width="34" customWidth="1"/>
    <col min="4" max="4" width="13" customWidth="1"/>
    <col min="5" max="5" width="12" customWidth="1"/>
    <col min="6" max="6" width="13" customWidth="1"/>
    <col min="7" max="7" width="19" customWidth="1"/>
    <col min="8" max="8" width="14" customWidth="1"/>
    <col min="9" max="9" width="48" customWidth="1"/>
    <col min="10" max="10" width="20" customWidth="1"/>
  </cols>
  <sheetData>
    <row r="1" spans="1:10" ht="18" x14ac:dyDescent="0.4">
      <c r="A1" s="1" t="s">
        <v>274</v>
      </c>
    </row>
    <row r="2" spans="1:10" x14ac:dyDescent="0.35">
      <c r="A2" s="7" t="s">
        <v>275</v>
      </c>
    </row>
    <row r="4" spans="1:10" ht="26" x14ac:dyDescent="0.35">
      <c r="A4" s="8" t="s">
        <v>276</v>
      </c>
      <c r="B4" s="8" t="s">
        <v>277</v>
      </c>
      <c r="C4" s="8" t="s">
        <v>278</v>
      </c>
      <c r="D4" s="8" t="s">
        <v>41</v>
      </c>
      <c r="E4" s="8" t="s">
        <v>109</v>
      </c>
      <c r="F4" s="8" t="s">
        <v>279</v>
      </c>
      <c r="G4" s="8" t="s">
        <v>280</v>
      </c>
      <c r="H4" s="8" t="s">
        <v>281</v>
      </c>
      <c r="I4" s="8" t="s">
        <v>282</v>
      </c>
      <c r="J4" s="8" t="s">
        <v>264</v>
      </c>
    </row>
    <row r="5" spans="1:10" x14ac:dyDescent="0.35">
      <c r="A5" s="25" t="s">
        <v>283</v>
      </c>
      <c r="B5" s="25" t="s">
        <v>284</v>
      </c>
      <c r="C5" s="25" t="s">
        <v>285</v>
      </c>
      <c r="D5" s="18">
        <v>13181</v>
      </c>
      <c r="E5" s="22">
        <f>D5/SUM($D$5:$D$9)</f>
        <v>0.21896803774337165</v>
      </c>
      <c r="F5" s="22"/>
      <c r="G5" s="25" t="s">
        <v>286</v>
      </c>
      <c r="H5" s="25" t="s">
        <v>287</v>
      </c>
      <c r="I5" s="25" t="s">
        <v>288</v>
      </c>
      <c r="J5" s="25" t="s">
        <v>289</v>
      </c>
    </row>
    <row r="6" spans="1:10" x14ac:dyDescent="0.35">
      <c r="A6" s="25" t="s">
        <v>283</v>
      </c>
      <c r="B6" s="25" t="s">
        <v>284</v>
      </c>
      <c r="C6" s="25" t="s">
        <v>290</v>
      </c>
      <c r="D6" s="18">
        <v>13978</v>
      </c>
      <c r="E6" s="22">
        <f>D6/SUM($D$5:$D$9)</f>
        <v>0.23220812014087314</v>
      </c>
      <c r="F6" s="22"/>
      <c r="G6" s="25" t="s">
        <v>291</v>
      </c>
      <c r="H6" s="25" t="s">
        <v>292</v>
      </c>
      <c r="I6" s="25" t="s">
        <v>293</v>
      </c>
      <c r="J6" s="25" t="s">
        <v>289</v>
      </c>
    </row>
    <row r="7" spans="1:10" x14ac:dyDescent="0.35">
      <c r="A7" s="25" t="s">
        <v>283</v>
      </c>
      <c r="B7" s="25" t="s">
        <v>284</v>
      </c>
      <c r="C7" s="25" t="s">
        <v>294</v>
      </c>
      <c r="D7" s="18">
        <v>22082</v>
      </c>
      <c r="E7" s="22">
        <f>D7/SUM($D$5:$D$9)</f>
        <v>0.36683500564821581</v>
      </c>
      <c r="F7" s="22"/>
      <c r="G7" s="25" t="s">
        <v>295</v>
      </c>
      <c r="H7" s="25" t="s">
        <v>292</v>
      </c>
      <c r="I7" s="25" t="s">
        <v>296</v>
      </c>
      <c r="J7" s="25" t="s">
        <v>289</v>
      </c>
    </row>
    <row r="8" spans="1:10" x14ac:dyDescent="0.35">
      <c r="A8" s="25" t="s">
        <v>283</v>
      </c>
      <c r="B8" s="25" t="s">
        <v>284</v>
      </c>
      <c r="C8" s="25" t="s">
        <v>297</v>
      </c>
      <c r="D8" s="18">
        <v>7883</v>
      </c>
      <c r="E8" s="22">
        <f>D8/SUM($D$5:$D$9)</f>
        <v>0.13095554521895142</v>
      </c>
      <c r="F8" s="22"/>
      <c r="G8" s="25" t="s">
        <v>298</v>
      </c>
      <c r="H8" s="25" t="s">
        <v>299</v>
      </c>
      <c r="I8" s="25" t="s">
        <v>300</v>
      </c>
      <c r="J8" s="25" t="s">
        <v>289</v>
      </c>
    </row>
    <row r="9" spans="1:10" x14ac:dyDescent="0.35">
      <c r="A9" s="25" t="s">
        <v>283</v>
      </c>
      <c r="B9" s="25" t="s">
        <v>284</v>
      </c>
      <c r="C9" s="25" t="s">
        <v>301</v>
      </c>
      <c r="D9" s="18">
        <v>3072</v>
      </c>
      <c r="E9" s="22">
        <f>D9/SUM($D$5:$D$9)</f>
        <v>5.1033291248587943E-2</v>
      </c>
      <c r="F9" s="22"/>
      <c r="G9" s="25" t="s">
        <v>302</v>
      </c>
      <c r="H9" s="25" t="s">
        <v>292</v>
      </c>
      <c r="I9" s="25" t="s">
        <v>303</v>
      </c>
      <c r="J9" s="25" t="s">
        <v>289</v>
      </c>
    </row>
    <row r="10" spans="1:10" x14ac:dyDescent="0.35">
      <c r="C10" s="2" t="s">
        <v>304</v>
      </c>
      <c r="D10" s="26">
        <f>SUM(D5:D9)</f>
        <v>60196</v>
      </c>
    </row>
    <row r="12" spans="1:10" x14ac:dyDescent="0.35">
      <c r="A12" s="25" t="s">
        <v>283</v>
      </c>
      <c r="B12" s="25" t="s">
        <v>305</v>
      </c>
      <c r="C12" s="25" t="s">
        <v>285</v>
      </c>
      <c r="D12" s="18">
        <v>16381</v>
      </c>
      <c r="E12" s="22">
        <f>D12/SUM($D$12:$D$16)</f>
        <v>0.1949353230278581</v>
      </c>
      <c r="F12" s="22"/>
      <c r="G12" s="25" t="s">
        <v>286</v>
      </c>
      <c r="H12" s="25" t="s">
        <v>287</v>
      </c>
      <c r="I12" s="25" t="s">
        <v>288</v>
      </c>
      <c r="J12" s="25" t="s">
        <v>306</v>
      </c>
    </row>
    <row r="13" spans="1:10" x14ac:dyDescent="0.35">
      <c r="A13" s="25" t="s">
        <v>283</v>
      </c>
      <c r="B13" s="25" t="s">
        <v>305</v>
      </c>
      <c r="C13" s="25" t="s">
        <v>290</v>
      </c>
      <c r="D13" s="18">
        <v>22780</v>
      </c>
      <c r="E13" s="22">
        <f>D13/SUM($D$12:$D$16)</f>
        <v>0.27108397891304609</v>
      </c>
      <c r="F13" s="22"/>
      <c r="G13" s="25" t="s">
        <v>291</v>
      </c>
      <c r="H13" s="25" t="s">
        <v>292</v>
      </c>
      <c r="I13" s="25" t="s">
        <v>293</v>
      </c>
      <c r="J13" s="25" t="s">
        <v>306</v>
      </c>
    </row>
    <row r="14" spans="1:10" x14ac:dyDescent="0.35">
      <c r="A14" s="25" t="s">
        <v>283</v>
      </c>
      <c r="B14" s="25" t="s">
        <v>305</v>
      </c>
      <c r="C14" s="25" t="s">
        <v>294</v>
      </c>
      <c r="D14" s="18">
        <v>26366</v>
      </c>
      <c r="E14" s="22">
        <f>D14/SUM($D$12:$D$16)</f>
        <v>0.31375769043114016</v>
      </c>
      <c r="F14" s="27">
        <v>1.3100000000000001E-2</v>
      </c>
      <c r="G14" s="25" t="s">
        <v>295</v>
      </c>
      <c r="H14" s="25" t="s">
        <v>292</v>
      </c>
      <c r="I14" s="25" t="s">
        <v>296</v>
      </c>
      <c r="J14" s="25" t="s">
        <v>306</v>
      </c>
    </row>
    <row r="15" spans="1:10" x14ac:dyDescent="0.35">
      <c r="A15" s="25" t="s">
        <v>283</v>
      </c>
      <c r="B15" s="25" t="s">
        <v>305</v>
      </c>
      <c r="C15" s="25" t="s">
        <v>297</v>
      </c>
      <c r="D15" s="18">
        <v>12375</v>
      </c>
      <c r="E15" s="22">
        <f>D15/SUM($D$12:$D$16)</f>
        <v>0.14726357502409768</v>
      </c>
      <c r="F15" s="27">
        <v>2.0000000000000001E-4</v>
      </c>
      <c r="G15" s="25" t="s">
        <v>298</v>
      </c>
      <c r="H15" s="25" t="s">
        <v>299</v>
      </c>
      <c r="I15" s="25" t="s">
        <v>300</v>
      </c>
      <c r="J15" s="25" t="s">
        <v>306</v>
      </c>
    </row>
    <row r="16" spans="1:10" x14ac:dyDescent="0.35">
      <c r="A16" s="25" t="s">
        <v>283</v>
      </c>
      <c r="B16" s="25" t="s">
        <v>305</v>
      </c>
      <c r="C16" s="25" t="s">
        <v>301</v>
      </c>
      <c r="D16" s="18">
        <v>6131</v>
      </c>
      <c r="E16" s="22">
        <f>D16/SUM($D$12:$D$16)</f>
        <v>7.295943260385801E-2</v>
      </c>
      <c r="F16" s="27">
        <v>1.17E-2</v>
      </c>
      <c r="G16" s="25" t="s">
        <v>302</v>
      </c>
      <c r="H16" s="25" t="s">
        <v>292</v>
      </c>
      <c r="I16" s="25" t="s">
        <v>303</v>
      </c>
      <c r="J16" s="25" t="s">
        <v>306</v>
      </c>
    </row>
    <row r="17" spans="1:10" x14ac:dyDescent="0.35">
      <c r="C17" s="2" t="s">
        <v>304</v>
      </c>
      <c r="D17" s="26">
        <f>SUM(D12:D16)</f>
        <v>84033</v>
      </c>
    </row>
    <row r="19" spans="1:10" x14ac:dyDescent="0.35">
      <c r="A19" s="25" t="s">
        <v>307</v>
      </c>
      <c r="B19" s="25" t="s">
        <v>308</v>
      </c>
      <c r="C19" s="25" t="s">
        <v>309</v>
      </c>
      <c r="D19" s="18">
        <v>9726</v>
      </c>
      <c r="E19" s="22">
        <f t="shared" ref="E19:E28" si="0">D19/SUM($D$19:$D$28)</f>
        <v>8.3925859450503931E-2</v>
      </c>
      <c r="F19" s="22"/>
      <c r="G19" s="25" t="s">
        <v>310</v>
      </c>
      <c r="H19" s="25" t="s">
        <v>292</v>
      </c>
      <c r="I19" s="25" t="s">
        <v>311</v>
      </c>
      <c r="J19" s="25" t="s">
        <v>312</v>
      </c>
    </row>
    <row r="20" spans="1:10" x14ac:dyDescent="0.35">
      <c r="A20" s="25" t="s">
        <v>307</v>
      </c>
      <c r="B20" s="25" t="s">
        <v>308</v>
      </c>
      <c r="C20" s="25" t="s">
        <v>313</v>
      </c>
      <c r="D20" s="18">
        <v>12261</v>
      </c>
      <c r="E20" s="22">
        <f t="shared" si="0"/>
        <v>0.10580042799944775</v>
      </c>
      <c r="F20" s="22"/>
      <c r="G20" s="25" t="s">
        <v>291</v>
      </c>
      <c r="H20" s="25" t="s">
        <v>314</v>
      </c>
      <c r="I20" s="25" t="s">
        <v>315</v>
      </c>
      <c r="J20" s="25" t="s">
        <v>312</v>
      </c>
    </row>
    <row r="21" spans="1:10" x14ac:dyDescent="0.35">
      <c r="A21" s="25" t="s">
        <v>307</v>
      </c>
      <c r="B21" s="25" t="s">
        <v>308</v>
      </c>
      <c r="C21" s="25" t="s">
        <v>316</v>
      </c>
      <c r="D21" s="18">
        <v>23002</v>
      </c>
      <c r="E21" s="22">
        <f t="shared" si="0"/>
        <v>0.19848474389065304</v>
      </c>
      <c r="F21" s="22"/>
      <c r="G21" s="25" t="s">
        <v>291</v>
      </c>
      <c r="H21" s="25" t="s">
        <v>292</v>
      </c>
      <c r="I21" s="25" t="s">
        <v>317</v>
      </c>
      <c r="J21" s="25" t="s">
        <v>312</v>
      </c>
    </row>
    <row r="22" spans="1:10" x14ac:dyDescent="0.35">
      <c r="A22" s="25" t="s">
        <v>307</v>
      </c>
      <c r="B22" s="25" t="s">
        <v>308</v>
      </c>
      <c r="C22" s="25" t="s">
        <v>318</v>
      </c>
      <c r="D22" s="18">
        <v>15759</v>
      </c>
      <c r="E22" s="22">
        <f t="shared" si="0"/>
        <v>0.13598474389065304</v>
      </c>
      <c r="F22" s="22"/>
      <c r="G22" s="25" t="s">
        <v>302</v>
      </c>
      <c r="H22" s="25" t="s">
        <v>292</v>
      </c>
      <c r="I22" s="25" t="s">
        <v>319</v>
      </c>
      <c r="J22" s="25" t="s">
        <v>312</v>
      </c>
    </row>
    <row r="23" spans="1:10" x14ac:dyDescent="0.35">
      <c r="A23" s="25" t="s">
        <v>307</v>
      </c>
      <c r="B23" s="25" t="s">
        <v>308</v>
      </c>
      <c r="C23" s="25" t="s">
        <v>320</v>
      </c>
      <c r="D23" s="18">
        <v>2142</v>
      </c>
      <c r="E23" s="22">
        <f t="shared" si="0"/>
        <v>1.8483363247273229E-2</v>
      </c>
      <c r="F23" s="22"/>
      <c r="G23" s="25" t="s">
        <v>291</v>
      </c>
      <c r="H23" s="25" t="s">
        <v>314</v>
      </c>
      <c r="I23" s="25" t="s">
        <v>321</v>
      </c>
      <c r="J23" s="25" t="s">
        <v>312</v>
      </c>
    </row>
    <row r="24" spans="1:10" x14ac:dyDescent="0.35">
      <c r="A24" s="25" t="s">
        <v>307</v>
      </c>
      <c r="B24" s="25" t="s">
        <v>308</v>
      </c>
      <c r="C24" s="25" t="s">
        <v>322</v>
      </c>
      <c r="D24" s="18">
        <v>7101</v>
      </c>
      <c r="E24" s="22">
        <f t="shared" si="0"/>
        <v>6.1274679000414195E-2</v>
      </c>
      <c r="F24" s="22"/>
      <c r="G24" s="25" t="s">
        <v>291</v>
      </c>
      <c r="H24" s="25" t="s">
        <v>292</v>
      </c>
      <c r="I24" s="25" t="s">
        <v>323</v>
      </c>
      <c r="J24" s="25" t="s">
        <v>312</v>
      </c>
    </row>
    <row r="25" spans="1:10" x14ac:dyDescent="0.35">
      <c r="A25" s="25" t="s">
        <v>307</v>
      </c>
      <c r="B25" s="25" t="s">
        <v>308</v>
      </c>
      <c r="C25" s="25" t="s">
        <v>324</v>
      </c>
      <c r="D25" s="18">
        <v>5668</v>
      </c>
      <c r="E25" s="22">
        <f t="shared" si="0"/>
        <v>4.8909291729946153E-2</v>
      </c>
      <c r="F25" s="22"/>
      <c r="G25" s="25" t="s">
        <v>298</v>
      </c>
      <c r="H25" s="25" t="s">
        <v>299</v>
      </c>
      <c r="I25" s="25" t="s">
        <v>325</v>
      </c>
      <c r="J25" s="25" t="s">
        <v>312</v>
      </c>
    </row>
    <row r="26" spans="1:10" x14ac:dyDescent="0.35">
      <c r="A26" s="25" t="s">
        <v>307</v>
      </c>
      <c r="B26" s="25" t="s">
        <v>308</v>
      </c>
      <c r="C26" s="25" t="s">
        <v>326</v>
      </c>
      <c r="D26" s="18">
        <v>6359</v>
      </c>
      <c r="E26" s="22">
        <f t="shared" si="0"/>
        <v>5.4871945326522162E-2</v>
      </c>
      <c r="F26" s="22"/>
      <c r="G26" s="25" t="s">
        <v>327</v>
      </c>
      <c r="H26" s="25" t="s">
        <v>299</v>
      </c>
      <c r="I26" s="25" t="s">
        <v>328</v>
      </c>
      <c r="J26" s="25" t="s">
        <v>312</v>
      </c>
    </row>
    <row r="27" spans="1:10" x14ac:dyDescent="0.35">
      <c r="A27" s="25" t="s">
        <v>307</v>
      </c>
      <c r="B27" s="25" t="s">
        <v>308</v>
      </c>
      <c r="C27" s="25" t="s">
        <v>329</v>
      </c>
      <c r="D27" s="18">
        <v>0</v>
      </c>
      <c r="E27" s="22">
        <f t="shared" si="0"/>
        <v>0</v>
      </c>
      <c r="F27" s="22"/>
      <c r="G27" s="25" t="s">
        <v>327</v>
      </c>
      <c r="H27" s="25" t="s">
        <v>299</v>
      </c>
      <c r="I27" s="25" t="s">
        <v>330</v>
      </c>
      <c r="J27" s="25" t="s">
        <v>312</v>
      </c>
    </row>
    <row r="28" spans="1:10" x14ac:dyDescent="0.35">
      <c r="A28" s="25" t="s">
        <v>307</v>
      </c>
      <c r="B28" s="25" t="s">
        <v>308</v>
      </c>
      <c r="C28" s="25" t="s">
        <v>331</v>
      </c>
      <c r="D28" s="18">
        <v>33870</v>
      </c>
      <c r="E28" s="22">
        <f t="shared" si="0"/>
        <v>0.29226494546458648</v>
      </c>
      <c r="F28" s="22"/>
      <c r="G28" s="25" t="s">
        <v>332</v>
      </c>
      <c r="H28" s="25" t="s">
        <v>299</v>
      </c>
      <c r="I28" s="25" t="s">
        <v>333</v>
      </c>
      <c r="J28" s="25" t="s">
        <v>312</v>
      </c>
    </row>
    <row r="29" spans="1:10" x14ac:dyDescent="0.35">
      <c r="C29" s="2" t="s">
        <v>304</v>
      </c>
      <c r="D29" s="26">
        <f>SUM(D19:D28)</f>
        <v>115888</v>
      </c>
    </row>
    <row r="31" spans="1:10" x14ac:dyDescent="0.35">
      <c r="A31" s="25" t="s">
        <v>307</v>
      </c>
      <c r="B31" s="25" t="s">
        <v>334</v>
      </c>
      <c r="C31" s="25" t="s">
        <v>309</v>
      </c>
      <c r="D31" s="18">
        <v>13085</v>
      </c>
      <c r="E31" s="22">
        <f t="shared" ref="E31:E40" si="1">D31/SUM($D$31:$D$40)</f>
        <v>8.8921054956405912E-2</v>
      </c>
      <c r="F31" s="22"/>
      <c r="G31" s="25" t="s">
        <v>310</v>
      </c>
      <c r="H31" s="25" t="s">
        <v>292</v>
      </c>
      <c r="I31" s="25" t="s">
        <v>311</v>
      </c>
      <c r="J31" s="25" t="s">
        <v>312</v>
      </c>
    </row>
    <row r="32" spans="1:10" x14ac:dyDescent="0.35">
      <c r="A32" s="25" t="s">
        <v>307</v>
      </c>
      <c r="B32" s="25" t="s">
        <v>334</v>
      </c>
      <c r="C32" s="25" t="s">
        <v>313</v>
      </c>
      <c r="D32" s="18">
        <v>12657</v>
      </c>
      <c r="E32" s="22">
        <f t="shared" si="1"/>
        <v>8.6012517583739373E-2</v>
      </c>
      <c r="F32" s="22"/>
      <c r="G32" s="25" t="s">
        <v>291</v>
      </c>
      <c r="H32" s="25" t="s">
        <v>314</v>
      </c>
      <c r="I32" s="25" t="s">
        <v>315</v>
      </c>
      <c r="J32" s="25" t="s">
        <v>312</v>
      </c>
    </row>
    <row r="33" spans="1:10" x14ac:dyDescent="0.35">
      <c r="A33" s="25" t="s">
        <v>307</v>
      </c>
      <c r="B33" s="25" t="s">
        <v>334</v>
      </c>
      <c r="C33" s="25" t="s">
        <v>316</v>
      </c>
      <c r="D33" s="18">
        <v>31256</v>
      </c>
      <c r="E33" s="22">
        <f t="shared" si="1"/>
        <v>0.21240477598146149</v>
      </c>
      <c r="F33" s="22"/>
      <c r="G33" s="25" t="s">
        <v>291</v>
      </c>
      <c r="H33" s="25" t="s">
        <v>292</v>
      </c>
      <c r="I33" s="25" t="s">
        <v>317</v>
      </c>
      <c r="J33" s="25" t="s">
        <v>312</v>
      </c>
    </row>
    <row r="34" spans="1:10" x14ac:dyDescent="0.35">
      <c r="A34" s="25" t="s">
        <v>307</v>
      </c>
      <c r="B34" s="25" t="s">
        <v>334</v>
      </c>
      <c r="C34" s="25" t="s">
        <v>318</v>
      </c>
      <c r="D34" s="18">
        <v>19429</v>
      </c>
      <c r="E34" s="22">
        <f t="shared" si="1"/>
        <v>0.13203264629331377</v>
      </c>
      <c r="F34" s="22"/>
      <c r="G34" s="25" t="s">
        <v>302</v>
      </c>
      <c r="H34" s="25" t="s">
        <v>292</v>
      </c>
      <c r="I34" s="25" t="s">
        <v>319</v>
      </c>
      <c r="J34" s="25" t="s">
        <v>312</v>
      </c>
    </row>
    <row r="35" spans="1:10" x14ac:dyDescent="0.35">
      <c r="A35" s="25" t="s">
        <v>307</v>
      </c>
      <c r="B35" s="25" t="s">
        <v>334</v>
      </c>
      <c r="C35" s="25" t="s">
        <v>320</v>
      </c>
      <c r="D35" s="18">
        <v>2669</v>
      </c>
      <c r="E35" s="22">
        <f t="shared" si="1"/>
        <v>1.8137584690764035E-2</v>
      </c>
      <c r="F35" s="22"/>
      <c r="G35" s="25" t="s">
        <v>291</v>
      </c>
      <c r="H35" s="25" t="s">
        <v>314</v>
      </c>
      <c r="I35" s="25" t="s">
        <v>321</v>
      </c>
      <c r="J35" s="25" t="s">
        <v>312</v>
      </c>
    </row>
    <row r="36" spans="1:10" x14ac:dyDescent="0.35">
      <c r="A36" s="25" t="s">
        <v>307</v>
      </c>
      <c r="B36" s="25" t="s">
        <v>334</v>
      </c>
      <c r="C36" s="25" t="s">
        <v>322</v>
      </c>
      <c r="D36" s="18">
        <v>10659</v>
      </c>
      <c r="E36" s="22">
        <f t="shared" si="1"/>
        <v>7.243481274591751E-2</v>
      </c>
      <c r="F36" s="22"/>
      <c r="G36" s="25" t="s">
        <v>291</v>
      </c>
      <c r="H36" s="25" t="s">
        <v>292</v>
      </c>
      <c r="I36" s="25" t="s">
        <v>323</v>
      </c>
      <c r="J36" s="25" t="s">
        <v>312</v>
      </c>
    </row>
    <row r="37" spans="1:10" x14ac:dyDescent="0.35">
      <c r="A37" s="25" t="s">
        <v>307</v>
      </c>
      <c r="B37" s="25" t="s">
        <v>334</v>
      </c>
      <c r="C37" s="25" t="s">
        <v>324</v>
      </c>
      <c r="D37" s="18">
        <v>6411</v>
      </c>
      <c r="E37" s="22">
        <f t="shared" si="1"/>
        <v>4.3566899757395361E-2</v>
      </c>
      <c r="F37" s="22"/>
      <c r="G37" s="25" t="s">
        <v>298</v>
      </c>
      <c r="H37" s="25" t="s">
        <v>299</v>
      </c>
      <c r="I37" s="25" t="s">
        <v>325</v>
      </c>
      <c r="J37" s="25" t="s">
        <v>312</v>
      </c>
    </row>
    <row r="38" spans="1:10" x14ac:dyDescent="0.35">
      <c r="A38" s="25" t="s">
        <v>307</v>
      </c>
      <c r="B38" s="25" t="s">
        <v>334</v>
      </c>
      <c r="C38" s="25" t="s">
        <v>326</v>
      </c>
      <c r="D38" s="18">
        <v>4821</v>
      </c>
      <c r="E38" s="22">
        <f t="shared" si="1"/>
        <v>3.2761819330900492E-2</v>
      </c>
      <c r="F38" s="22"/>
      <c r="G38" s="25" t="s">
        <v>327</v>
      </c>
      <c r="H38" s="25" t="s">
        <v>299</v>
      </c>
      <c r="I38" s="25" t="s">
        <v>328</v>
      </c>
      <c r="J38" s="25" t="s">
        <v>312</v>
      </c>
    </row>
    <row r="39" spans="1:10" x14ac:dyDescent="0.35">
      <c r="A39" s="25" t="s">
        <v>307</v>
      </c>
      <c r="B39" s="25" t="s">
        <v>334</v>
      </c>
      <c r="C39" s="25" t="s">
        <v>329</v>
      </c>
      <c r="D39" s="18">
        <v>0</v>
      </c>
      <c r="E39" s="22">
        <f t="shared" si="1"/>
        <v>0</v>
      </c>
      <c r="F39" s="22"/>
      <c r="G39" s="25" t="s">
        <v>327</v>
      </c>
      <c r="H39" s="25" t="s">
        <v>299</v>
      </c>
      <c r="I39" s="25" t="s">
        <v>330</v>
      </c>
      <c r="J39" s="25" t="s">
        <v>312</v>
      </c>
    </row>
    <row r="40" spans="1:10" x14ac:dyDescent="0.35">
      <c r="A40" s="25" t="s">
        <v>307</v>
      </c>
      <c r="B40" s="25" t="s">
        <v>334</v>
      </c>
      <c r="C40" s="25" t="s">
        <v>331</v>
      </c>
      <c r="D40" s="18">
        <v>46166</v>
      </c>
      <c r="E40" s="22">
        <f t="shared" si="1"/>
        <v>0.31372788866010209</v>
      </c>
      <c r="F40" s="22"/>
      <c r="G40" s="25" t="s">
        <v>332</v>
      </c>
      <c r="H40" s="25" t="s">
        <v>299</v>
      </c>
      <c r="I40" s="25" t="s">
        <v>333</v>
      </c>
      <c r="J40" s="25" t="s">
        <v>312</v>
      </c>
    </row>
    <row r="41" spans="1:10" x14ac:dyDescent="0.35">
      <c r="C41" s="2" t="s">
        <v>304</v>
      </c>
      <c r="D41" s="26">
        <f>SUM(D31:D40)</f>
        <v>147153</v>
      </c>
    </row>
    <row r="43" spans="1:10" x14ac:dyDescent="0.35">
      <c r="A43" s="25" t="s">
        <v>307</v>
      </c>
      <c r="B43" s="25" t="s">
        <v>335</v>
      </c>
      <c r="C43" s="25" t="s">
        <v>309</v>
      </c>
      <c r="D43" s="18">
        <v>12111</v>
      </c>
      <c r="E43" s="22">
        <f t="shared" ref="E43:E52" si="2">D43/SUM($D$43:$D$52)</f>
        <v>7.918429259808954E-2</v>
      </c>
      <c r="F43" s="22"/>
      <c r="G43" s="25" t="s">
        <v>310</v>
      </c>
      <c r="H43" s="25" t="s">
        <v>292</v>
      </c>
      <c r="I43" s="25" t="s">
        <v>311</v>
      </c>
      <c r="J43" s="25" t="s">
        <v>336</v>
      </c>
    </row>
    <row r="44" spans="1:10" x14ac:dyDescent="0.35">
      <c r="A44" s="25" t="s">
        <v>307</v>
      </c>
      <c r="B44" s="25" t="s">
        <v>335</v>
      </c>
      <c r="C44" s="25" t="s">
        <v>313</v>
      </c>
      <c r="D44" s="18">
        <v>11526</v>
      </c>
      <c r="E44" s="22">
        <f t="shared" si="2"/>
        <v>7.5359438236774837E-2</v>
      </c>
      <c r="F44" s="22"/>
      <c r="G44" s="25" t="s">
        <v>291</v>
      </c>
      <c r="H44" s="25" t="s">
        <v>314</v>
      </c>
      <c r="I44" s="25" t="s">
        <v>315</v>
      </c>
      <c r="J44" s="25" t="s">
        <v>336</v>
      </c>
    </row>
    <row r="45" spans="1:10" x14ac:dyDescent="0.35">
      <c r="A45" s="25" t="s">
        <v>307</v>
      </c>
      <c r="B45" s="25" t="s">
        <v>335</v>
      </c>
      <c r="C45" s="25" t="s">
        <v>316</v>
      </c>
      <c r="D45" s="18">
        <v>30450</v>
      </c>
      <c r="E45" s="22">
        <f t="shared" si="2"/>
        <v>0.19908857316586792</v>
      </c>
      <c r="F45" s="22"/>
      <c r="G45" s="25" t="s">
        <v>291</v>
      </c>
      <c r="H45" s="25" t="s">
        <v>292</v>
      </c>
      <c r="I45" s="25" t="s">
        <v>317</v>
      </c>
      <c r="J45" s="25" t="s">
        <v>336</v>
      </c>
    </row>
    <row r="46" spans="1:10" x14ac:dyDescent="0.35">
      <c r="A46" s="25" t="s">
        <v>307</v>
      </c>
      <c r="B46" s="25" t="s">
        <v>335</v>
      </c>
      <c r="C46" s="25" t="s">
        <v>318</v>
      </c>
      <c r="D46" s="18">
        <v>20217</v>
      </c>
      <c r="E46" s="22">
        <f t="shared" si="2"/>
        <v>0.13218304379948609</v>
      </c>
      <c r="F46" s="22"/>
      <c r="G46" s="25" t="s">
        <v>302</v>
      </c>
      <c r="H46" s="25" t="s">
        <v>292</v>
      </c>
      <c r="I46" s="25" t="s">
        <v>319</v>
      </c>
      <c r="J46" s="25" t="s">
        <v>336</v>
      </c>
    </row>
    <row r="47" spans="1:10" x14ac:dyDescent="0.35">
      <c r="A47" s="25" t="s">
        <v>307</v>
      </c>
      <c r="B47" s="25" t="s">
        <v>335</v>
      </c>
      <c r="C47" s="25" t="s">
        <v>320</v>
      </c>
      <c r="D47" s="18">
        <v>2883</v>
      </c>
      <c r="E47" s="22">
        <f t="shared" si="2"/>
        <v>1.8849666878068872E-2</v>
      </c>
      <c r="F47" s="22"/>
      <c r="G47" s="25" t="s">
        <v>291</v>
      </c>
      <c r="H47" s="25" t="s">
        <v>314</v>
      </c>
      <c r="I47" s="25" t="s">
        <v>321</v>
      </c>
      <c r="J47" s="25" t="s">
        <v>336</v>
      </c>
    </row>
    <row r="48" spans="1:10" x14ac:dyDescent="0.35">
      <c r="A48" s="25" t="s">
        <v>307</v>
      </c>
      <c r="B48" s="25" t="s">
        <v>335</v>
      </c>
      <c r="C48" s="25" t="s">
        <v>322</v>
      </c>
      <c r="D48" s="18">
        <v>11822</v>
      </c>
      <c r="E48" s="22">
        <f t="shared" si="2"/>
        <v>7.7294749161474233E-2</v>
      </c>
      <c r="F48" s="22"/>
      <c r="G48" s="25" t="s">
        <v>291</v>
      </c>
      <c r="H48" s="25" t="s">
        <v>292</v>
      </c>
      <c r="I48" s="25" t="s">
        <v>323</v>
      </c>
      <c r="J48" s="25" t="s">
        <v>336</v>
      </c>
    </row>
    <row r="49" spans="1:10" x14ac:dyDescent="0.35">
      <c r="A49" s="25" t="s">
        <v>307</v>
      </c>
      <c r="B49" s="25" t="s">
        <v>335</v>
      </c>
      <c r="C49" s="25" t="s">
        <v>324</v>
      </c>
      <c r="D49" s="18">
        <v>8293</v>
      </c>
      <c r="E49" s="22">
        <f t="shared" si="2"/>
        <v>5.4221396954500581E-2</v>
      </c>
      <c r="F49" s="22"/>
      <c r="G49" s="25" t="s">
        <v>298</v>
      </c>
      <c r="H49" s="25" t="s">
        <v>299</v>
      </c>
      <c r="I49" s="25" t="s">
        <v>325</v>
      </c>
      <c r="J49" s="25" t="s">
        <v>336</v>
      </c>
    </row>
    <row r="50" spans="1:10" x14ac:dyDescent="0.35">
      <c r="A50" s="25" t="s">
        <v>307</v>
      </c>
      <c r="B50" s="25" t="s">
        <v>335</v>
      </c>
      <c r="C50" s="25" t="s">
        <v>326</v>
      </c>
      <c r="D50" s="18">
        <v>5889</v>
      </c>
      <c r="E50" s="22">
        <f t="shared" si="2"/>
        <v>3.8503533903901349E-2</v>
      </c>
      <c r="F50" s="22"/>
      <c r="G50" s="25" t="s">
        <v>327</v>
      </c>
      <c r="H50" s="25" t="s">
        <v>299</v>
      </c>
      <c r="I50" s="25" t="s">
        <v>328</v>
      </c>
      <c r="J50" s="25" t="s">
        <v>336</v>
      </c>
    </row>
    <row r="51" spans="1:10" x14ac:dyDescent="0.35">
      <c r="A51" s="25" t="s">
        <v>307</v>
      </c>
      <c r="B51" s="25" t="s">
        <v>335</v>
      </c>
      <c r="C51" s="25" t="s">
        <v>329</v>
      </c>
      <c r="D51" s="18">
        <v>165</v>
      </c>
      <c r="E51" s="22">
        <f t="shared" si="2"/>
        <v>1.0788050762682497E-3</v>
      </c>
      <c r="F51" s="22"/>
      <c r="G51" s="25" t="s">
        <v>327</v>
      </c>
      <c r="H51" s="25" t="s">
        <v>299</v>
      </c>
      <c r="I51" s="25" t="s">
        <v>330</v>
      </c>
      <c r="J51" s="25" t="s">
        <v>336</v>
      </c>
    </row>
    <row r="52" spans="1:10" x14ac:dyDescent="0.35">
      <c r="A52" s="25" t="s">
        <v>307</v>
      </c>
      <c r="B52" s="25" t="s">
        <v>335</v>
      </c>
      <c r="C52" s="25" t="s">
        <v>331</v>
      </c>
      <c r="D52" s="18">
        <v>49591</v>
      </c>
      <c r="E52" s="22">
        <f t="shared" si="2"/>
        <v>0.32423650022556832</v>
      </c>
      <c r="F52" s="22"/>
      <c r="G52" s="25" t="s">
        <v>332</v>
      </c>
      <c r="H52" s="25" t="s">
        <v>299</v>
      </c>
      <c r="I52" s="25" t="s">
        <v>333</v>
      </c>
      <c r="J52" s="25" t="s">
        <v>336</v>
      </c>
    </row>
    <row r="53" spans="1:10" x14ac:dyDescent="0.35">
      <c r="C53" s="2" t="s">
        <v>304</v>
      </c>
      <c r="D53" s="26">
        <f>SUM(D43:D52)</f>
        <v>152947</v>
      </c>
    </row>
    <row r="55" spans="1:10" x14ac:dyDescent="0.35">
      <c r="A55" s="25" t="s">
        <v>307</v>
      </c>
      <c r="B55" s="25" t="s">
        <v>337</v>
      </c>
      <c r="C55" s="25" t="s">
        <v>309</v>
      </c>
      <c r="D55" s="18">
        <v>10194</v>
      </c>
      <c r="E55" s="22">
        <f t="shared" ref="E55:E64" si="3">D55/SUM($D$55:$D$64)</f>
        <v>5.162773737414663E-2</v>
      </c>
      <c r="F55" s="22"/>
      <c r="G55" s="25" t="s">
        <v>310</v>
      </c>
      <c r="H55" s="25" t="s">
        <v>292</v>
      </c>
      <c r="I55" s="25" t="s">
        <v>311</v>
      </c>
      <c r="J55" s="25" t="s">
        <v>338</v>
      </c>
    </row>
    <row r="56" spans="1:10" x14ac:dyDescent="0.35">
      <c r="A56" s="25" t="s">
        <v>307</v>
      </c>
      <c r="B56" s="25" t="s">
        <v>337</v>
      </c>
      <c r="C56" s="25" t="s">
        <v>313</v>
      </c>
      <c r="D56" s="18">
        <v>14977</v>
      </c>
      <c r="E56" s="22">
        <f t="shared" si="3"/>
        <v>7.5851346149950372E-2</v>
      </c>
      <c r="F56" s="22"/>
      <c r="G56" s="25" t="s">
        <v>291</v>
      </c>
      <c r="H56" s="25" t="s">
        <v>314</v>
      </c>
      <c r="I56" s="25" t="s">
        <v>315</v>
      </c>
      <c r="J56" s="25" t="s">
        <v>338</v>
      </c>
    </row>
    <row r="57" spans="1:10" x14ac:dyDescent="0.35">
      <c r="A57" s="25" t="s">
        <v>307</v>
      </c>
      <c r="B57" s="25" t="s">
        <v>337</v>
      </c>
      <c r="C57" s="25" t="s">
        <v>316</v>
      </c>
      <c r="D57" s="18">
        <v>38772</v>
      </c>
      <c r="E57" s="22">
        <f t="shared" si="3"/>
        <v>0.19636164738771955</v>
      </c>
      <c r="F57" s="22"/>
      <c r="G57" s="25" t="s">
        <v>291</v>
      </c>
      <c r="H57" s="25" t="s">
        <v>292</v>
      </c>
      <c r="I57" s="25" t="s">
        <v>317</v>
      </c>
      <c r="J57" s="25" t="s">
        <v>338</v>
      </c>
    </row>
    <row r="58" spans="1:10" x14ac:dyDescent="0.35">
      <c r="A58" s="25" t="s">
        <v>307</v>
      </c>
      <c r="B58" s="25" t="s">
        <v>337</v>
      </c>
      <c r="C58" s="25" t="s">
        <v>318</v>
      </c>
      <c r="D58" s="18">
        <v>24979</v>
      </c>
      <c r="E58" s="22">
        <f t="shared" si="3"/>
        <v>0.12650669529809777</v>
      </c>
      <c r="F58" s="22"/>
      <c r="G58" s="25" t="s">
        <v>302</v>
      </c>
      <c r="H58" s="25" t="s">
        <v>292</v>
      </c>
      <c r="I58" s="25" t="s">
        <v>319</v>
      </c>
      <c r="J58" s="25" t="s">
        <v>338</v>
      </c>
    </row>
    <row r="59" spans="1:10" x14ac:dyDescent="0.35">
      <c r="A59" s="25" t="s">
        <v>307</v>
      </c>
      <c r="B59" s="25" t="s">
        <v>337</v>
      </c>
      <c r="C59" s="25" t="s">
        <v>320</v>
      </c>
      <c r="D59" s="18">
        <v>4129</v>
      </c>
      <c r="E59" s="22">
        <f t="shared" si="3"/>
        <v>2.0911411380993863E-2</v>
      </c>
      <c r="F59" s="22"/>
      <c r="G59" s="25" t="s">
        <v>291</v>
      </c>
      <c r="H59" s="25" t="s">
        <v>314</v>
      </c>
      <c r="I59" s="25" t="s">
        <v>321</v>
      </c>
      <c r="J59" s="25" t="s">
        <v>338</v>
      </c>
    </row>
    <row r="60" spans="1:10" x14ac:dyDescent="0.35">
      <c r="A60" s="25" t="s">
        <v>307</v>
      </c>
      <c r="B60" s="25" t="s">
        <v>337</v>
      </c>
      <c r="C60" s="25" t="s">
        <v>322</v>
      </c>
      <c r="D60" s="18">
        <v>15301</v>
      </c>
      <c r="E60" s="22">
        <f t="shared" si="3"/>
        <v>7.7492251281324073E-2</v>
      </c>
      <c r="F60" s="22"/>
      <c r="G60" s="25" t="s">
        <v>291</v>
      </c>
      <c r="H60" s="25" t="s">
        <v>292</v>
      </c>
      <c r="I60" s="25" t="s">
        <v>323</v>
      </c>
      <c r="J60" s="25" t="s">
        <v>338</v>
      </c>
    </row>
    <row r="61" spans="1:10" x14ac:dyDescent="0.35">
      <c r="A61" s="25" t="s">
        <v>307</v>
      </c>
      <c r="B61" s="25" t="s">
        <v>337</v>
      </c>
      <c r="C61" s="25" t="s">
        <v>324</v>
      </c>
      <c r="D61" s="18">
        <v>11498</v>
      </c>
      <c r="E61" s="22">
        <f t="shared" si="3"/>
        <v>5.8231874075724735E-2</v>
      </c>
      <c r="F61" s="22"/>
      <c r="G61" s="25" t="s">
        <v>298</v>
      </c>
      <c r="H61" s="25" t="s">
        <v>299</v>
      </c>
      <c r="I61" s="25" t="s">
        <v>325</v>
      </c>
      <c r="J61" s="25" t="s">
        <v>338</v>
      </c>
    </row>
    <row r="62" spans="1:10" x14ac:dyDescent="0.35">
      <c r="A62" s="25" t="s">
        <v>307</v>
      </c>
      <c r="B62" s="25" t="s">
        <v>337</v>
      </c>
      <c r="C62" s="25" t="s">
        <v>326</v>
      </c>
      <c r="D62" s="18">
        <v>10536</v>
      </c>
      <c r="E62" s="22">
        <f t="shared" si="3"/>
        <v>5.3359803901707754E-2</v>
      </c>
      <c r="F62" s="22"/>
      <c r="G62" s="25" t="s">
        <v>327</v>
      </c>
      <c r="H62" s="25" t="s">
        <v>299</v>
      </c>
      <c r="I62" s="25" t="s">
        <v>328</v>
      </c>
      <c r="J62" s="25" t="s">
        <v>338</v>
      </c>
    </row>
    <row r="63" spans="1:10" x14ac:dyDescent="0.35">
      <c r="A63" s="25" t="s">
        <v>307</v>
      </c>
      <c r="B63" s="25" t="s">
        <v>337</v>
      </c>
      <c r="C63" s="25" t="s">
        <v>329</v>
      </c>
      <c r="D63" s="18">
        <v>5365</v>
      </c>
      <c r="E63" s="22">
        <f t="shared" si="3"/>
        <v>2.7171160585863906E-2</v>
      </c>
      <c r="F63" s="22"/>
      <c r="G63" s="25" t="s">
        <v>327</v>
      </c>
      <c r="H63" s="25" t="s">
        <v>299</v>
      </c>
      <c r="I63" s="25" t="s">
        <v>330</v>
      </c>
      <c r="J63" s="25" t="s">
        <v>338</v>
      </c>
    </row>
    <row r="64" spans="1:10" x14ac:dyDescent="0.35">
      <c r="A64" s="25" t="s">
        <v>307</v>
      </c>
      <c r="B64" s="25" t="s">
        <v>337</v>
      </c>
      <c r="C64" s="25" t="s">
        <v>331</v>
      </c>
      <c r="D64" s="18">
        <v>61701</v>
      </c>
      <c r="E64" s="22">
        <f t="shared" si="3"/>
        <v>0.31248607256447136</v>
      </c>
      <c r="F64" s="22"/>
      <c r="G64" s="25" t="s">
        <v>332</v>
      </c>
      <c r="H64" s="25" t="s">
        <v>299</v>
      </c>
      <c r="I64" s="25" t="s">
        <v>333</v>
      </c>
      <c r="J64" s="25" t="s">
        <v>338</v>
      </c>
    </row>
    <row r="65" spans="1:10" x14ac:dyDescent="0.35">
      <c r="C65" s="2" t="s">
        <v>304</v>
      </c>
      <c r="D65" s="26">
        <f>SUM(D55:D64)</f>
        <v>197452</v>
      </c>
    </row>
    <row r="67" spans="1:10" x14ac:dyDescent="0.35">
      <c r="A67" s="25" t="s">
        <v>339</v>
      </c>
      <c r="B67" s="25" t="s">
        <v>340</v>
      </c>
      <c r="C67" s="25" t="s">
        <v>341</v>
      </c>
      <c r="D67" s="18">
        <v>12979</v>
      </c>
      <c r="E67" s="22">
        <f t="shared" ref="E67:E77" si="4">D67/SUM($D$67:$D$77)</f>
        <v>5.2466054111302902E-2</v>
      </c>
      <c r="F67" s="27">
        <v>4.7899999999999998E-2</v>
      </c>
      <c r="G67" s="25" t="s">
        <v>310</v>
      </c>
      <c r="H67" s="25" t="s">
        <v>292</v>
      </c>
      <c r="I67" s="25" t="s">
        <v>342</v>
      </c>
      <c r="J67" s="25" t="s">
        <v>343</v>
      </c>
    </row>
    <row r="68" spans="1:10" x14ac:dyDescent="0.35">
      <c r="A68" s="25" t="s">
        <v>339</v>
      </c>
      <c r="B68" s="25" t="s">
        <v>340</v>
      </c>
      <c r="C68" s="25" t="s">
        <v>344</v>
      </c>
      <c r="D68" s="18">
        <v>17859</v>
      </c>
      <c r="E68" s="22">
        <f t="shared" si="4"/>
        <v>7.2192870049600011E-2</v>
      </c>
      <c r="F68" s="27">
        <v>4.0000000000000001E-3</v>
      </c>
      <c r="G68" s="25" t="s">
        <v>291</v>
      </c>
      <c r="H68" s="25" t="s">
        <v>314</v>
      </c>
      <c r="I68" s="25" t="s">
        <v>345</v>
      </c>
      <c r="J68" s="25" t="s">
        <v>343</v>
      </c>
    </row>
    <row r="69" spans="1:10" x14ac:dyDescent="0.35">
      <c r="A69" s="25" t="s">
        <v>339</v>
      </c>
      <c r="B69" s="25" t="s">
        <v>340</v>
      </c>
      <c r="C69" s="25" t="s">
        <v>346</v>
      </c>
      <c r="D69" s="18">
        <v>51346</v>
      </c>
      <c r="E69" s="22">
        <f t="shared" si="4"/>
        <v>0.20756005966553345</v>
      </c>
      <c r="F69" s="27">
        <v>9.1999999999999998E-3</v>
      </c>
      <c r="G69" s="25" t="s">
        <v>291</v>
      </c>
      <c r="H69" s="25" t="s">
        <v>292</v>
      </c>
      <c r="I69" s="25" t="s">
        <v>347</v>
      </c>
      <c r="J69" s="25" t="s">
        <v>343</v>
      </c>
    </row>
    <row r="70" spans="1:10" x14ac:dyDescent="0.35">
      <c r="A70" s="25" t="s">
        <v>339</v>
      </c>
      <c r="B70" s="25" t="s">
        <v>340</v>
      </c>
      <c r="C70" s="25" t="s">
        <v>348</v>
      </c>
      <c r="D70" s="18">
        <v>4571</v>
      </c>
      <c r="E70" s="22">
        <f t="shared" si="4"/>
        <v>1.847772042089264E-2</v>
      </c>
      <c r="F70" s="27">
        <v>3.3999999999999998E-3</v>
      </c>
      <c r="G70" s="25" t="s">
        <v>291</v>
      </c>
      <c r="H70" s="25" t="s">
        <v>314</v>
      </c>
      <c r="I70" s="25" t="s">
        <v>349</v>
      </c>
      <c r="J70" s="25" t="s">
        <v>343</v>
      </c>
    </row>
    <row r="71" spans="1:10" x14ac:dyDescent="0.35">
      <c r="A71" s="25" t="s">
        <v>339</v>
      </c>
      <c r="B71" s="25" t="s">
        <v>340</v>
      </c>
      <c r="C71" s="25" t="s">
        <v>350</v>
      </c>
      <c r="D71" s="18">
        <v>16657</v>
      </c>
      <c r="E71" s="22">
        <f t="shared" si="4"/>
        <v>6.7333928910699781E-2</v>
      </c>
      <c r="F71" s="27">
        <v>1.0500000000000001E-2</v>
      </c>
      <c r="G71" s="25" t="s">
        <v>291</v>
      </c>
      <c r="H71" s="25" t="s">
        <v>292</v>
      </c>
      <c r="I71" s="25" t="s">
        <v>351</v>
      </c>
      <c r="J71" s="25" t="s">
        <v>343</v>
      </c>
    </row>
    <row r="72" spans="1:10" x14ac:dyDescent="0.35">
      <c r="A72" s="25" t="s">
        <v>339</v>
      </c>
      <c r="B72" s="25" t="s">
        <v>340</v>
      </c>
      <c r="C72" s="25" t="s">
        <v>352</v>
      </c>
      <c r="D72" s="18">
        <v>2800</v>
      </c>
      <c r="E72" s="22">
        <f t="shared" si="4"/>
        <v>1.1318664882629488E-2</v>
      </c>
      <c r="F72" s="27">
        <v>3.3E-3</v>
      </c>
      <c r="G72" s="25" t="s">
        <v>353</v>
      </c>
      <c r="H72" s="25" t="s">
        <v>299</v>
      </c>
      <c r="I72" s="25" t="s">
        <v>354</v>
      </c>
      <c r="J72" s="25" t="s">
        <v>343</v>
      </c>
    </row>
    <row r="73" spans="1:10" x14ac:dyDescent="0.35">
      <c r="A73" s="25" t="s">
        <v>339</v>
      </c>
      <c r="B73" s="25" t="s">
        <v>340</v>
      </c>
      <c r="C73" s="25" t="s">
        <v>355</v>
      </c>
      <c r="D73" s="18">
        <v>29764</v>
      </c>
      <c r="E73" s="22">
        <f t="shared" si="4"/>
        <v>0.12031740770235146</v>
      </c>
      <c r="F73" s="27">
        <v>1.34E-2</v>
      </c>
      <c r="G73" s="25" t="s">
        <v>302</v>
      </c>
      <c r="H73" s="25" t="s">
        <v>292</v>
      </c>
      <c r="I73" s="25" t="s">
        <v>356</v>
      </c>
      <c r="J73" s="25" t="s">
        <v>343</v>
      </c>
    </row>
    <row r="74" spans="1:10" x14ac:dyDescent="0.35">
      <c r="A74" s="25" t="s">
        <v>339</v>
      </c>
      <c r="B74" s="25" t="s">
        <v>340</v>
      </c>
      <c r="C74" s="25" t="s">
        <v>357</v>
      </c>
      <c r="D74" s="18">
        <v>2763</v>
      </c>
      <c r="E74" s="22">
        <f t="shared" si="4"/>
        <v>1.1169096810966169E-2</v>
      </c>
      <c r="F74" s="27">
        <v>5.4999999999999997E-3</v>
      </c>
      <c r="G74" s="25" t="s">
        <v>310</v>
      </c>
      <c r="H74" s="25" t="s">
        <v>314</v>
      </c>
      <c r="I74" s="25" t="s">
        <v>358</v>
      </c>
      <c r="J74" s="25" t="s">
        <v>343</v>
      </c>
    </row>
    <row r="75" spans="1:10" x14ac:dyDescent="0.35">
      <c r="A75" s="25" t="s">
        <v>339</v>
      </c>
      <c r="B75" s="25" t="s">
        <v>340</v>
      </c>
      <c r="C75" s="25" t="s">
        <v>324</v>
      </c>
      <c r="D75" s="18">
        <v>15834</v>
      </c>
      <c r="E75" s="22">
        <f t="shared" si="4"/>
        <v>6.4007049911269751E-2</v>
      </c>
      <c r="F75" s="27">
        <v>2.5999999999999999E-3</v>
      </c>
      <c r="G75" s="25" t="s">
        <v>298</v>
      </c>
      <c r="H75" s="25" t="s">
        <v>299</v>
      </c>
      <c r="I75" s="25" t="s">
        <v>325</v>
      </c>
      <c r="J75" s="25" t="s">
        <v>343</v>
      </c>
    </row>
    <row r="76" spans="1:10" x14ac:dyDescent="0.35">
      <c r="A76" s="25" t="s">
        <v>339</v>
      </c>
      <c r="B76" s="25" t="s">
        <v>340</v>
      </c>
      <c r="C76" s="25" t="s">
        <v>359</v>
      </c>
      <c r="D76" s="18">
        <v>15093</v>
      </c>
      <c r="E76" s="22">
        <f t="shared" si="4"/>
        <v>6.1011646097688166E-2</v>
      </c>
      <c r="F76" s="27">
        <v>2.0000000000000001E-4</v>
      </c>
      <c r="G76" s="25" t="s">
        <v>327</v>
      </c>
      <c r="H76" s="25" t="s">
        <v>299</v>
      </c>
      <c r="I76" s="25" t="s">
        <v>360</v>
      </c>
      <c r="J76" s="25" t="s">
        <v>343</v>
      </c>
    </row>
    <row r="77" spans="1:10" x14ac:dyDescent="0.35">
      <c r="A77" s="25" t="s">
        <v>339</v>
      </c>
      <c r="B77" s="25" t="s">
        <v>340</v>
      </c>
      <c r="C77" s="25" t="s">
        <v>331</v>
      </c>
      <c r="D77" s="18">
        <v>77713</v>
      </c>
      <c r="E77" s="22">
        <f t="shared" si="4"/>
        <v>0.31414550143706621</v>
      </c>
      <c r="F77" s="27">
        <v>6.0000000000000001E-3</v>
      </c>
      <c r="G77" s="25" t="s">
        <v>332</v>
      </c>
      <c r="H77" s="25" t="s">
        <v>299</v>
      </c>
      <c r="I77" s="25" t="s">
        <v>333</v>
      </c>
      <c r="J77" s="25" t="s">
        <v>343</v>
      </c>
    </row>
    <row r="78" spans="1:10" x14ac:dyDescent="0.35">
      <c r="C78" s="2" t="s">
        <v>304</v>
      </c>
      <c r="D78" s="26">
        <f>SUM(D67:D77)</f>
        <v>247379</v>
      </c>
    </row>
    <row r="80" spans="1:10" x14ac:dyDescent="0.35">
      <c r="A80" s="25" t="s">
        <v>339</v>
      </c>
      <c r="B80" s="25" t="s">
        <v>361</v>
      </c>
      <c r="C80" s="25" t="s">
        <v>341</v>
      </c>
      <c r="D80" s="18">
        <v>19742</v>
      </c>
      <c r="E80" s="22">
        <f t="shared" ref="E80:E90" si="5">D80/SUM($D$80:$D$90)</f>
        <v>5.9712959182130272E-2</v>
      </c>
      <c r="F80" s="27">
        <v>3.04E-2</v>
      </c>
      <c r="G80" s="25" t="s">
        <v>310</v>
      </c>
      <c r="H80" s="25" t="s">
        <v>292</v>
      </c>
      <c r="I80" s="25" t="s">
        <v>342</v>
      </c>
      <c r="J80" s="25" t="s">
        <v>343</v>
      </c>
    </row>
    <row r="81" spans="1:10" x14ac:dyDescent="0.35">
      <c r="A81" s="25" t="s">
        <v>339</v>
      </c>
      <c r="B81" s="25" t="s">
        <v>361</v>
      </c>
      <c r="C81" s="25" t="s">
        <v>344</v>
      </c>
      <c r="D81" s="18">
        <v>23448</v>
      </c>
      <c r="E81" s="22">
        <f t="shared" si="5"/>
        <v>7.0922371943196769E-2</v>
      </c>
      <c r="F81" s="27">
        <v>5.7000000000000002E-3</v>
      </c>
      <c r="G81" s="25" t="s">
        <v>291</v>
      </c>
      <c r="H81" s="25" t="s">
        <v>314</v>
      </c>
      <c r="I81" s="25" t="s">
        <v>345</v>
      </c>
      <c r="J81" s="25" t="s">
        <v>343</v>
      </c>
    </row>
    <row r="82" spans="1:10" x14ac:dyDescent="0.35">
      <c r="A82" s="25" t="s">
        <v>339</v>
      </c>
      <c r="B82" s="25" t="s">
        <v>361</v>
      </c>
      <c r="C82" s="25" t="s">
        <v>346</v>
      </c>
      <c r="D82" s="18">
        <v>66093</v>
      </c>
      <c r="E82" s="22">
        <f t="shared" si="5"/>
        <v>0.1999092600154258</v>
      </c>
      <c r="F82" s="27">
        <v>1.03E-2</v>
      </c>
      <c r="G82" s="25" t="s">
        <v>291</v>
      </c>
      <c r="H82" s="25" t="s">
        <v>292</v>
      </c>
      <c r="I82" s="25" t="s">
        <v>347</v>
      </c>
      <c r="J82" s="25" t="s">
        <v>343</v>
      </c>
    </row>
    <row r="83" spans="1:10" x14ac:dyDescent="0.35">
      <c r="A83" s="25" t="s">
        <v>339</v>
      </c>
      <c r="B83" s="25" t="s">
        <v>361</v>
      </c>
      <c r="C83" s="25" t="s">
        <v>348</v>
      </c>
      <c r="D83" s="18">
        <v>6209</v>
      </c>
      <c r="E83" s="22">
        <f t="shared" si="5"/>
        <v>1.8780152140707468E-2</v>
      </c>
      <c r="F83" s="27">
        <v>4.8999999999999998E-3</v>
      </c>
      <c r="G83" s="25" t="s">
        <v>291</v>
      </c>
      <c r="H83" s="25" t="s">
        <v>314</v>
      </c>
      <c r="I83" s="25" t="s">
        <v>349</v>
      </c>
      <c r="J83" s="25" t="s">
        <v>343</v>
      </c>
    </row>
    <row r="84" spans="1:10" x14ac:dyDescent="0.35">
      <c r="A84" s="25" t="s">
        <v>339</v>
      </c>
      <c r="B84" s="25" t="s">
        <v>361</v>
      </c>
      <c r="C84" s="25" t="s">
        <v>350</v>
      </c>
      <c r="D84" s="18">
        <v>17607</v>
      </c>
      <c r="E84" s="22">
        <f t="shared" si="5"/>
        <v>5.3255296946599522E-2</v>
      </c>
      <c r="F84" s="27">
        <v>1.14E-2</v>
      </c>
      <c r="G84" s="25" t="s">
        <v>291</v>
      </c>
      <c r="H84" s="25" t="s">
        <v>292</v>
      </c>
      <c r="I84" s="25" t="s">
        <v>351</v>
      </c>
      <c r="J84" s="25" t="s">
        <v>343</v>
      </c>
    </row>
    <row r="85" spans="1:10" x14ac:dyDescent="0.35">
      <c r="A85" s="25" t="s">
        <v>339</v>
      </c>
      <c r="B85" s="25" t="s">
        <v>361</v>
      </c>
      <c r="C85" s="25" t="s">
        <v>352</v>
      </c>
      <c r="D85" s="18">
        <v>4599</v>
      </c>
      <c r="E85" s="22">
        <f t="shared" si="5"/>
        <v>1.3910439635225261E-2</v>
      </c>
      <c r="F85" s="27">
        <v>6.4000000000000003E-3</v>
      </c>
      <c r="G85" s="25" t="s">
        <v>353</v>
      </c>
      <c r="H85" s="25" t="s">
        <v>299</v>
      </c>
      <c r="I85" s="25" t="s">
        <v>354</v>
      </c>
      <c r="J85" s="25" t="s">
        <v>343</v>
      </c>
    </row>
    <row r="86" spans="1:10" x14ac:dyDescent="0.35">
      <c r="A86" s="25" t="s">
        <v>339</v>
      </c>
      <c r="B86" s="25" t="s">
        <v>361</v>
      </c>
      <c r="C86" s="25" t="s">
        <v>355</v>
      </c>
      <c r="D86" s="18">
        <v>38470</v>
      </c>
      <c r="E86" s="22">
        <f t="shared" si="5"/>
        <v>0.11635890688565249</v>
      </c>
      <c r="F86" s="27">
        <v>1.3299999999999999E-2</v>
      </c>
      <c r="G86" s="25" t="s">
        <v>302</v>
      </c>
      <c r="H86" s="25" t="s">
        <v>292</v>
      </c>
      <c r="I86" s="25" t="s">
        <v>356</v>
      </c>
      <c r="J86" s="25" t="s">
        <v>343</v>
      </c>
    </row>
    <row r="87" spans="1:10" x14ac:dyDescent="0.35">
      <c r="A87" s="25" t="s">
        <v>339</v>
      </c>
      <c r="B87" s="25" t="s">
        <v>361</v>
      </c>
      <c r="C87" s="25" t="s">
        <v>357</v>
      </c>
      <c r="D87" s="18">
        <v>7087</v>
      </c>
      <c r="E87" s="22">
        <f t="shared" si="5"/>
        <v>2.1435809022579133E-2</v>
      </c>
      <c r="F87" s="27">
        <v>7.0000000000000001E-3</v>
      </c>
      <c r="G87" s="25" t="s">
        <v>310</v>
      </c>
      <c r="H87" s="25" t="s">
        <v>314</v>
      </c>
      <c r="I87" s="25" t="s">
        <v>358</v>
      </c>
      <c r="J87" s="25" t="s">
        <v>343</v>
      </c>
    </row>
    <row r="88" spans="1:10" x14ac:dyDescent="0.35">
      <c r="A88" s="25" t="s">
        <v>339</v>
      </c>
      <c r="B88" s="25" t="s">
        <v>361</v>
      </c>
      <c r="C88" s="25" t="s">
        <v>324</v>
      </c>
      <c r="D88" s="18">
        <v>22006</v>
      </c>
      <c r="E88" s="22">
        <f t="shared" si="5"/>
        <v>6.6560803351330092E-2</v>
      </c>
      <c r="F88" s="27">
        <v>1.9E-3</v>
      </c>
      <c r="G88" s="25" t="s">
        <v>298</v>
      </c>
      <c r="H88" s="25" t="s">
        <v>299</v>
      </c>
      <c r="I88" s="25" t="s">
        <v>325</v>
      </c>
      <c r="J88" s="25" t="s">
        <v>343</v>
      </c>
    </row>
    <row r="89" spans="1:10" x14ac:dyDescent="0.35">
      <c r="A89" s="25" t="s">
        <v>339</v>
      </c>
      <c r="B89" s="25" t="s">
        <v>361</v>
      </c>
      <c r="C89" s="25" t="s">
        <v>359</v>
      </c>
      <c r="D89" s="18">
        <v>22038</v>
      </c>
      <c r="E89" s="22">
        <f t="shared" si="5"/>
        <v>6.665759266820924E-2</v>
      </c>
      <c r="F89" s="27">
        <v>1E-4</v>
      </c>
      <c r="G89" s="25" t="s">
        <v>327</v>
      </c>
      <c r="H89" s="25" t="s">
        <v>299</v>
      </c>
      <c r="I89" s="25" t="s">
        <v>360</v>
      </c>
      <c r="J89" s="25" t="s">
        <v>343</v>
      </c>
    </row>
    <row r="90" spans="1:10" x14ac:dyDescent="0.35">
      <c r="A90" s="25" t="s">
        <v>339</v>
      </c>
      <c r="B90" s="25" t="s">
        <v>361</v>
      </c>
      <c r="C90" s="25" t="s">
        <v>331</v>
      </c>
      <c r="D90" s="18">
        <v>103316</v>
      </c>
      <c r="E90" s="22">
        <f t="shared" si="5"/>
        <v>0.31249640820894392</v>
      </c>
      <c r="F90" s="27">
        <v>4.8999999999999998E-3</v>
      </c>
      <c r="G90" s="25" t="s">
        <v>332</v>
      </c>
      <c r="H90" s="25" t="s">
        <v>299</v>
      </c>
      <c r="I90" s="25" t="s">
        <v>333</v>
      </c>
      <c r="J90" s="25" t="s">
        <v>343</v>
      </c>
    </row>
    <row r="91" spans="1:10" x14ac:dyDescent="0.35">
      <c r="C91" s="2" t="s">
        <v>304</v>
      </c>
      <c r="D91" s="26">
        <f>SUM(D80:D90)</f>
        <v>330615</v>
      </c>
    </row>
    <row r="93" spans="1:10" x14ac:dyDescent="0.35">
      <c r="A93" s="25" t="s">
        <v>362</v>
      </c>
      <c r="B93" s="25" t="s">
        <v>363</v>
      </c>
      <c r="C93" s="25" t="s">
        <v>364</v>
      </c>
      <c r="D93" s="18">
        <v>10691</v>
      </c>
      <c r="E93" s="22">
        <f t="shared" ref="E93:E106" si="6">D93/SUM($D$93:$D$106)</f>
        <v>2.5658748958985841E-2</v>
      </c>
      <c r="F93" s="27">
        <v>7.2499999999999995E-2</v>
      </c>
      <c r="G93" s="25" t="s">
        <v>310</v>
      </c>
      <c r="H93" s="25" t="s">
        <v>292</v>
      </c>
      <c r="I93" s="25" t="s">
        <v>365</v>
      </c>
      <c r="J93" s="25" t="s">
        <v>366</v>
      </c>
    </row>
    <row r="94" spans="1:10" x14ac:dyDescent="0.35">
      <c r="A94" s="25" t="s">
        <v>362</v>
      </c>
      <c r="B94" s="25" t="s">
        <v>363</v>
      </c>
      <c r="C94" s="25" t="s">
        <v>367</v>
      </c>
      <c r="D94" s="18">
        <v>6628</v>
      </c>
      <c r="E94" s="22">
        <f t="shared" si="6"/>
        <v>1.5907416340862235E-2</v>
      </c>
      <c r="F94" s="27">
        <v>1.34E-2</v>
      </c>
      <c r="G94" s="25" t="s">
        <v>310</v>
      </c>
      <c r="H94" s="25" t="s">
        <v>314</v>
      </c>
      <c r="I94" s="25" t="s">
        <v>368</v>
      </c>
      <c r="J94" s="25" t="s">
        <v>366</v>
      </c>
    </row>
    <row r="95" spans="1:10" x14ac:dyDescent="0.35">
      <c r="A95" s="25" t="s">
        <v>362</v>
      </c>
      <c r="B95" s="25" t="s">
        <v>363</v>
      </c>
      <c r="C95" s="25" t="s">
        <v>344</v>
      </c>
      <c r="D95" s="18">
        <v>29109</v>
      </c>
      <c r="E95" s="22">
        <f t="shared" si="6"/>
        <v>6.986255013068178E-2</v>
      </c>
      <c r="F95" s="27">
        <v>5.8999999999999999E-3</v>
      </c>
      <c r="G95" s="25" t="s">
        <v>291</v>
      </c>
      <c r="H95" s="25" t="s">
        <v>314</v>
      </c>
      <c r="I95" s="25" t="s">
        <v>345</v>
      </c>
      <c r="J95" s="25" t="s">
        <v>366</v>
      </c>
    </row>
    <row r="96" spans="1:10" x14ac:dyDescent="0.35">
      <c r="A96" s="25" t="s">
        <v>362</v>
      </c>
      <c r="B96" s="25" t="s">
        <v>363</v>
      </c>
      <c r="C96" s="25" t="s">
        <v>369</v>
      </c>
      <c r="D96" s="18">
        <v>87696</v>
      </c>
      <c r="E96" s="22">
        <f t="shared" si="6"/>
        <v>0.21047326243636913</v>
      </c>
      <c r="F96" s="27">
        <v>1.17E-2</v>
      </c>
      <c r="G96" s="25" t="s">
        <v>291</v>
      </c>
      <c r="H96" s="25" t="s">
        <v>292</v>
      </c>
      <c r="I96" s="25" t="s">
        <v>347</v>
      </c>
      <c r="J96" s="25" t="s">
        <v>366</v>
      </c>
    </row>
    <row r="97" spans="1:10" x14ac:dyDescent="0.35">
      <c r="A97" s="25" t="s">
        <v>362</v>
      </c>
      <c r="B97" s="25" t="s">
        <v>363</v>
      </c>
      <c r="C97" s="25" t="s">
        <v>348</v>
      </c>
      <c r="D97" s="18">
        <v>7944</v>
      </c>
      <c r="E97" s="22">
        <f t="shared" si="6"/>
        <v>1.9065859295686421E-2</v>
      </c>
      <c r="F97" s="27">
        <v>5.7999999999999996E-3</v>
      </c>
      <c r="G97" s="25" t="s">
        <v>291</v>
      </c>
      <c r="H97" s="25" t="s">
        <v>314</v>
      </c>
      <c r="I97" s="25" t="s">
        <v>349</v>
      </c>
      <c r="J97" s="25" t="s">
        <v>366</v>
      </c>
    </row>
    <row r="98" spans="1:10" x14ac:dyDescent="0.35">
      <c r="A98" s="25" t="s">
        <v>362</v>
      </c>
      <c r="B98" s="25" t="s">
        <v>363</v>
      </c>
      <c r="C98" s="25" t="s">
        <v>370</v>
      </c>
      <c r="D98" s="18">
        <v>20209</v>
      </c>
      <c r="E98" s="22">
        <f t="shared" si="6"/>
        <v>4.850225963073098E-2</v>
      </c>
      <c r="F98" s="27">
        <v>1.11E-2</v>
      </c>
      <c r="G98" s="25" t="s">
        <v>291</v>
      </c>
      <c r="H98" s="25" t="s">
        <v>292</v>
      </c>
      <c r="I98" s="25" t="s">
        <v>371</v>
      </c>
      <c r="J98" s="25" t="s">
        <v>366</v>
      </c>
    </row>
    <row r="99" spans="1:10" x14ac:dyDescent="0.35">
      <c r="A99" s="25" t="s">
        <v>362</v>
      </c>
      <c r="B99" s="25" t="s">
        <v>363</v>
      </c>
      <c r="C99" s="25" t="s">
        <v>372</v>
      </c>
      <c r="D99" s="18">
        <v>1258</v>
      </c>
      <c r="E99" s="22">
        <f t="shared" si="6"/>
        <v>3.019241061678439E-3</v>
      </c>
      <c r="F99" s="27">
        <v>7.4000000000000003E-3</v>
      </c>
      <c r="G99" s="25" t="s">
        <v>291</v>
      </c>
      <c r="H99" s="25" t="s">
        <v>292</v>
      </c>
      <c r="I99" s="25" t="s">
        <v>373</v>
      </c>
      <c r="J99" s="25" t="s">
        <v>366</v>
      </c>
    </row>
    <row r="100" spans="1:10" x14ac:dyDescent="0.35">
      <c r="A100" s="25" t="s">
        <v>362</v>
      </c>
      <c r="B100" s="25" t="s">
        <v>363</v>
      </c>
      <c r="C100" s="25" t="s">
        <v>352</v>
      </c>
      <c r="D100" s="18">
        <v>8307</v>
      </c>
      <c r="E100" s="22">
        <f t="shared" si="6"/>
        <v>1.993707114416756E-2</v>
      </c>
      <c r="F100" s="27">
        <v>3.0000000000000001E-3</v>
      </c>
      <c r="G100" s="25" t="s">
        <v>353</v>
      </c>
      <c r="H100" s="25" t="s">
        <v>299</v>
      </c>
      <c r="I100" s="25" t="s">
        <v>354</v>
      </c>
      <c r="J100" s="25" t="s">
        <v>366</v>
      </c>
    </row>
    <row r="101" spans="1:10" x14ac:dyDescent="0.35">
      <c r="A101" s="25" t="s">
        <v>362</v>
      </c>
      <c r="B101" s="25" t="s">
        <v>363</v>
      </c>
      <c r="C101" s="25" t="s">
        <v>374</v>
      </c>
      <c r="D101" s="18">
        <v>48698</v>
      </c>
      <c r="E101" s="22">
        <f t="shared" si="6"/>
        <v>0.11687678952433753</v>
      </c>
      <c r="F101" s="27">
        <v>1.52E-2</v>
      </c>
      <c r="G101" s="25" t="s">
        <v>302</v>
      </c>
      <c r="H101" s="25" t="s">
        <v>292</v>
      </c>
      <c r="I101" s="25" t="s">
        <v>375</v>
      </c>
      <c r="J101" s="25" t="s">
        <v>366</v>
      </c>
    </row>
    <row r="102" spans="1:10" x14ac:dyDescent="0.35">
      <c r="A102" s="25" t="s">
        <v>362</v>
      </c>
      <c r="B102" s="25" t="s">
        <v>363</v>
      </c>
      <c r="C102" s="25" t="s">
        <v>376</v>
      </c>
      <c r="D102" s="18">
        <v>1647</v>
      </c>
      <c r="E102" s="22">
        <f t="shared" si="6"/>
        <v>3.9528537588111199E-3</v>
      </c>
      <c r="F102" s="27">
        <v>1.1999999999999999E-3</v>
      </c>
      <c r="G102" s="25" t="s">
        <v>310</v>
      </c>
      <c r="H102" s="25" t="s">
        <v>314</v>
      </c>
      <c r="I102" s="25" t="s">
        <v>377</v>
      </c>
      <c r="J102" s="25" t="s">
        <v>366</v>
      </c>
    </row>
    <row r="103" spans="1:10" x14ac:dyDescent="0.35">
      <c r="A103" s="25" t="s">
        <v>362</v>
      </c>
      <c r="B103" s="25" t="s">
        <v>363</v>
      </c>
      <c r="C103" s="25" t="s">
        <v>357</v>
      </c>
      <c r="D103" s="18">
        <v>11876</v>
      </c>
      <c r="E103" s="22">
        <f t="shared" si="6"/>
        <v>2.8502787637911874E-2</v>
      </c>
      <c r="F103" s="27">
        <v>1.17E-2</v>
      </c>
      <c r="G103" s="25" t="s">
        <v>310</v>
      </c>
      <c r="H103" s="25" t="s">
        <v>314</v>
      </c>
      <c r="I103" s="25" t="s">
        <v>358</v>
      </c>
      <c r="J103" s="25" t="s">
        <v>366</v>
      </c>
    </row>
    <row r="104" spans="1:10" x14ac:dyDescent="0.35">
      <c r="A104" s="25" t="s">
        <v>362</v>
      </c>
      <c r="B104" s="25" t="s">
        <v>363</v>
      </c>
      <c r="C104" s="25" t="s">
        <v>324</v>
      </c>
      <c r="D104" s="18">
        <v>27760</v>
      </c>
      <c r="E104" s="22">
        <f t="shared" si="6"/>
        <v>6.6624906098722944E-2</v>
      </c>
      <c r="F104" s="27">
        <v>1.1999999999999999E-3</v>
      </c>
      <c r="G104" s="25" t="s">
        <v>298</v>
      </c>
      <c r="H104" s="25" t="s">
        <v>299</v>
      </c>
      <c r="I104" s="25" t="s">
        <v>325</v>
      </c>
      <c r="J104" s="25" t="s">
        <v>366</v>
      </c>
    </row>
    <row r="105" spans="1:10" x14ac:dyDescent="0.35">
      <c r="A105" s="25" t="s">
        <v>362</v>
      </c>
      <c r="B105" s="25" t="s">
        <v>363</v>
      </c>
      <c r="C105" s="25" t="s">
        <v>359</v>
      </c>
      <c r="D105" s="18">
        <v>25377</v>
      </c>
      <c r="E105" s="22">
        <f t="shared" si="6"/>
        <v>6.0905628316545106E-2</v>
      </c>
      <c r="F105" s="27">
        <v>1E-4</v>
      </c>
      <c r="G105" s="25" t="s">
        <v>327</v>
      </c>
      <c r="H105" s="25" t="s">
        <v>299</v>
      </c>
      <c r="I105" s="25" t="s">
        <v>360</v>
      </c>
      <c r="J105" s="25" t="s">
        <v>366</v>
      </c>
    </row>
    <row r="106" spans="1:10" x14ac:dyDescent="0.35">
      <c r="A106" s="25" t="s">
        <v>362</v>
      </c>
      <c r="B106" s="25" t="s">
        <v>363</v>
      </c>
      <c r="C106" s="25" t="s">
        <v>331</v>
      </c>
      <c r="D106" s="18">
        <v>129461</v>
      </c>
      <c r="E106" s="22">
        <f t="shared" si="6"/>
        <v>0.31071062566450902</v>
      </c>
      <c r="F106" s="27">
        <v>5.0000000000000001E-3</v>
      </c>
      <c r="G106" s="25" t="s">
        <v>332</v>
      </c>
      <c r="H106" s="25" t="s">
        <v>299</v>
      </c>
      <c r="I106" s="25" t="s">
        <v>333</v>
      </c>
      <c r="J106" s="25" t="s">
        <v>366</v>
      </c>
    </row>
    <row r="107" spans="1:10" x14ac:dyDescent="0.35">
      <c r="C107" s="2" t="s">
        <v>304</v>
      </c>
      <c r="D107" s="26">
        <f>SUM(D93:D106)</f>
        <v>416661</v>
      </c>
    </row>
    <row r="109" spans="1:10" x14ac:dyDescent="0.35">
      <c r="A109" s="25" t="s">
        <v>362</v>
      </c>
      <c r="B109" s="25" t="s">
        <v>378</v>
      </c>
      <c r="C109" s="25" t="s">
        <v>364</v>
      </c>
      <c r="D109" s="18">
        <v>4288</v>
      </c>
      <c r="E109" s="22">
        <f t="shared" ref="E109:E122" si="7">D109/SUM($D$109:$D$122)</f>
        <v>8.4082553066326775E-3</v>
      </c>
      <c r="F109" s="27">
        <v>0.14349999999999999</v>
      </c>
      <c r="G109" s="25" t="s">
        <v>310</v>
      </c>
      <c r="H109" s="25" t="s">
        <v>292</v>
      </c>
      <c r="I109" s="25" t="s">
        <v>365</v>
      </c>
      <c r="J109" s="25" t="s">
        <v>366</v>
      </c>
    </row>
    <row r="110" spans="1:10" x14ac:dyDescent="0.35">
      <c r="A110" s="25" t="s">
        <v>362</v>
      </c>
      <c r="B110" s="25" t="s">
        <v>378</v>
      </c>
      <c r="C110" s="25" t="s">
        <v>367</v>
      </c>
      <c r="D110" s="18">
        <v>8325</v>
      </c>
      <c r="E110" s="22">
        <f t="shared" si="7"/>
        <v>1.6324329624001176E-2</v>
      </c>
      <c r="F110" s="27">
        <v>1.6199999999999999E-2</v>
      </c>
      <c r="G110" s="25" t="s">
        <v>310</v>
      </c>
      <c r="H110" s="25" t="s">
        <v>314</v>
      </c>
      <c r="I110" s="25" t="s">
        <v>368</v>
      </c>
      <c r="J110" s="25" t="s">
        <v>366</v>
      </c>
    </row>
    <row r="111" spans="1:10" x14ac:dyDescent="0.35">
      <c r="A111" s="25" t="s">
        <v>362</v>
      </c>
      <c r="B111" s="25" t="s">
        <v>378</v>
      </c>
      <c r="C111" s="25" t="s">
        <v>344</v>
      </c>
      <c r="D111" s="18">
        <v>37430</v>
      </c>
      <c r="E111" s="22">
        <f t="shared" si="7"/>
        <v>7.3395754693857548E-2</v>
      </c>
      <c r="F111" s="27">
        <v>4.1999999999999997E-3</v>
      </c>
      <c r="G111" s="25" t="s">
        <v>291</v>
      </c>
      <c r="H111" s="25" t="s">
        <v>314</v>
      </c>
      <c r="I111" s="25" t="s">
        <v>345</v>
      </c>
      <c r="J111" s="25" t="s">
        <v>366</v>
      </c>
    </row>
    <row r="112" spans="1:10" x14ac:dyDescent="0.35">
      <c r="A112" s="25" t="s">
        <v>362</v>
      </c>
      <c r="B112" s="25" t="s">
        <v>378</v>
      </c>
      <c r="C112" s="25" t="s">
        <v>369</v>
      </c>
      <c r="D112" s="18">
        <v>104485</v>
      </c>
      <c r="E112" s="22">
        <f t="shared" si="7"/>
        <v>0.20488259228393549</v>
      </c>
      <c r="F112" s="27">
        <v>1.23E-2</v>
      </c>
      <c r="G112" s="25" t="s">
        <v>291</v>
      </c>
      <c r="H112" s="25" t="s">
        <v>292</v>
      </c>
      <c r="I112" s="25" t="s">
        <v>347</v>
      </c>
      <c r="J112" s="25" t="s">
        <v>366</v>
      </c>
    </row>
    <row r="113" spans="1:10" x14ac:dyDescent="0.35">
      <c r="A113" s="25" t="s">
        <v>362</v>
      </c>
      <c r="B113" s="25" t="s">
        <v>378</v>
      </c>
      <c r="C113" s="25" t="s">
        <v>348</v>
      </c>
      <c r="D113" s="18">
        <v>10559</v>
      </c>
      <c r="E113" s="22">
        <f t="shared" si="7"/>
        <v>2.0704936516495905E-2</v>
      </c>
      <c r="F113" s="27">
        <v>3.8999999999999998E-3</v>
      </c>
      <c r="G113" s="25" t="s">
        <v>291</v>
      </c>
      <c r="H113" s="25" t="s">
        <v>314</v>
      </c>
      <c r="I113" s="25" t="s">
        <v>349</v>
      </c>
      <c r="J113" s="25" t="s">
        <v>366</v>
      </c>
    </row>
    <row r="114" spans="1:10" x14ac:dyDescent="0.35">
      <c r="A114" s="25" t="s">
        <v>362</v>
      </c>
      <c r="B114" s="25" t="s">
        <v>378</v>
      </c>
      <c r="C114" s="25" t="s">
        <v>370</v>
      </c>
      <c r="D114" s="18">
        <v>25234</v>
      </c>
      <c r="E114" s="22">
        <f t="shared" si="7"/>
        <v>4.948085690475023E-2</v>
      </c>
      <c r="F114" s="27">
        <v>9.4000000000000004E-3</v>
      </c>
      <c r="G114" s="25" t="s">
        <v>291</v>
      </c>
      <c r="H114" s="25" t="s">
        <v>292</v>
      </c>
      <c r="I114" s="25" t="s">
        <v>371</v>
      </c>
      <c r="J114" s="25" t="s">
        <v>366</v>
      </c>
    </row>
    <row r="115" spans="1:10" x14ac:dyDescent="0.35">
      <c r="A115" s="25" t="s">
        <v>362</v>
      </c>
      <c r="B115" s="25" t="s">
        <v>378</v>
      </c>
      <c r="C115" s="25" t="s">
        <v>372</v>
      </c>
      <c r="D115" s="18">
        <v>2198</v>
      </c>
      <c r="E115" s="22">
        <f t="shared" si="7"/>
        <v>4.3100151968233739E-3</v>
      </c>
      <c r="F115" s="27">
        <v>5.4999999999999997E-3</v>
      </c>
      <c r="G115" s="25" t="s">
        <v>291</v>
      </c>
      <c r="H115" s="25" t="s">
        <v>292</v>
      </c>
      <c r="I115" s="25" t="s">
        <v>373</v>
      </c>
      <c r="J115" s="25" t="s">
        <v>366</v>
      </c>
    </row>
    <row r="116" spans="1:10" x14ac:dyDescent="0.35">
      <c r="A116" s="25" t="s">
        <v>362</v>
      </c>
      <c r="B116" s="25" t="s">
        <v>378</v>
      </c>
      <c r="C116" s="25" t="s">
        <v>352</v>
      </c>
      <c r="D116" s="18">
        <v>17831</v>
      </c>
      <c r="E116" s="22">
        <f t="shared" si="7"/>
        <v>3.4964459042109909E-2</v>
      </c>
      <c r="F116" s="27">
        <v>3.3E-3</v>
      </c>
      <c r="G116" s="25" t="s">
        <v>353</v>
      </c>
      <c r="H116" s="25" t="s">
        <v>299</v>
      </c>
      <c r="I116" s="25" t="s">
        <v>354</v>
      </c>
      <c r="J116" s="25" t="s">
        <v>366</v>
      </c>
    </row>
    <row r="117" spans="1:10" x14ac:dyDescent="0.35">
      <c r="A117" s="25" t="s">
        <v>362</v>
      </c>
      <c r="B117" s="25" t="s">
        <v>378</v>
      </c>
      <c r="C117" s="25" t="s">
        <v>374</v>
      </c>
      <c r="D117" s="18">
        <v>51570</v>
      </c>
      <c r="E117" s="22">
        <f t="shared" si="7"/>
        <v>0.10112260404921809</v>
      </c>
      <c r="F117" s="27">
        <v>2.6499999999999999E-2</v>
      </c>
      <c r="G117" s="25" t="s">
        <v>302</v>
      </c>
      <c r="H117" s="25" t="s">
        <v>292</v>
      </c>
      <c r="I117" s="25" t="s">
        <v>375</v>
      </c>
      <c r="J117" s="25" t="s">
        <v>366</v>
      </c>
    </row>
    <row r="118" spans="1:10" x14ac:dyDescent="0.35">
      <c r="A118" s="25" t="s">
        <v>362</v>
      </c>
      <c r="B118" s="25" t="s">
        <v>378</v>
      </c>
      <c r="C118" s="25" t="s">
        <v>376</v>
      </c>
      <c r="D118" s="18">
        <v>3881</v>
      </c>
      <c r="E118" s="22">
        <f t="shared" si="7"/>
        <v>7.6101769694592869E-3</v>
      </c>
      <c r="F118" s="27">
        <v>7.7999999999999996E-3</v>
      </c>
      <c r="G118" s="25" t="s">
        <v>310</v>
      </c>
      <c r="H118" s="25" t="s">
        <v>314</v>
      </c>
      <c r="I118" s="25" t="s">
        <v>377</v>
      </c>
      <c r="J118" s="25" t="s">
        <v>366</v>
      </c>
    </row>
    <row r="119" spans="1:10" x14ac:dyDescent="0.35">
      <c r="A119" s="25" t="s">
        <v>362</v>
      </c>
      <c r="B119" s="25" t="s">
        <v>378</v>
      </c>
      <c r="C119" s="25" t="s">
        <v>357</v>
      </c>
      <c r="D119" s="18">
        <v>15011</v>
      </c>
      <c r="E119" s="22">
        <f t="shared" si="7"/>
        <v>2.9434776214520321E-2</v>
      </c>
      <c r="F119" s="27">
        <v>1.34E-2</v>
      </c>
      <c r="G119" s="25" t="s">
        <v>310</v>
      </c>
      <c r="H119" s="25" t="s">
        <v>314</v>
      </c>
      <c r="I119" s="25" t="s">
        <v>358</v>
      </c>
      <c r="J119" s="25" t="s">
        <v>366</v>
      </c>
    </row>
    <row r="120" spans="1:10" x14ac:dyDescent="0.35">
      <c r="A120" s="25" t="s">
        <v>362</v>
      </c>
      <c r="B120" s="25" t="s">
        <v>378</v>
      </c>
      <c r="C120" s="25" t="s">
        <v>324</v>
      </c>
      <c r="D120" s="18">
        <v>33839</v>
      </c>
      <c r="E120" s="22">
        <f t="shared" si="7"/>
        <v>6.6354233050639741E-2</v>
      </c>
      <c r="F120" s="27">
        <v>8.0000000000000004E-4</v>
      </c>
      <c r="G120" s="25" t="s">
        <v>298</v>
      </c>
      <c r="H120" s="25" t="s">
        <v>299</v>
      </c>
      <c r="I120" s="25" t="s">
        <v>325</v>
      </c>
      <c r="J120" s="25" t="s">
        <v>366</v>
      </c>
    </row>
    <row r="121" spans="1:10" x14ac:dyDescent="0.35">
      <c r="A121" s="25" t="s">
        <v>362</v>
      </c>
      <c r="B121" s="25" t="s">
        <v>378</v>
      </c>
      <c r="C121" s="25" t="s">
        <v>359</v>
      </c>
      <c r="D121" s="18">
        <v>33247</v>
      </c>
      <c r="E121" s="22">
        <f t="shared" si="7"/>
        <v>6.519339183293299E-2</v>
      </c>
      <c r="F121" s="27">
        <v>2.0000000000000001E-4</v>
      </c>
      <c r="G121" s="25" t="s">
        <v>327</v>
      </c>
      <c r="H121" s="25" t="s">
        <v>299</v>
      </c>
      <c r="I121" s="25" t="s">
        <v>360</v>
      </c>
      <c r="J121" s="25" t="s">
        <v>366</v>
      </c>
    </row>
    <row r="122" spans="1:10" x14ac:dyDescent="0.35">
      <c r="A122" s="25" t="s">
        <v>362</v>
      </c>
      <c r="B122" s="25" t="s">
        <v>378</v>
      </c>
      <c r="C122" s="25" t="s">
        <v>331</v>
      </c>
      <c r="D122" s="18">
        <v>162077</v>
      </c>
      <c r="E122" s="22">
        <f t="shared" si="7"/>
        <v>0.31781361831462329</v>
      </c>
      <c r="F122" s="27">
        <v>5.4000000000000003E-3</v>
      </c>
      <c r="G122" s="25" t="s">
        <v>332</v>
      </c>
      <c r="H122" s="25" t="s">
        <v>299</v>
      </c>
      <c r="I122" s="25" t="s">
        <v>333</v>
      </c>
      <c r="J122" s="25" t="s">
        <v>366</v>
      </c>
    </row>
    <row r="123" spans="1:10" x14ac:dyDescent="0.35">
      <c r="C123" s="2" t="s">
        <v>304</v>
      </c>
      <c r="D123" s="26">
        <f>SUM(D109:D122)</f>
        <v>509975</v>
      </c>
    </row>
    <row r="125" spans="1:10" x14ac:dyDescent="0.35">
      <c r="A125" s="7" t="s">
        <v>379</v>
      </c>
    </row>
    <row r="127" spans="1:10" x14ac:dyDescent="0.35">
      <c r="A127" s="2" t="s">
        <v>380</v>
      </c>
    </row>
    <row r="128" spans="1:10" ht="26" x14ac:dyDescent="0.35">
      <c r="A128" s="8" t="s">
        <v>277</v>
      </c>
      <c r="B128" s="8" t="s">
        <v>381</v>
      </c>
      <c r="C128" s="8" t="s">
        <v>301</v>
      </c>
      <c r="D128" s="8" t="s">
        <v>382</v>
      </c>
      <c r="E128" s="8" t="s">
        <v>383</v>
      </c>
      <c r="F128" s="8" t="s">
        <v>331</v>
      </c>
      <c r="G128" s="8" t="s">
        <v>304</v>
      </c>
      <c r="H128" s="8" t="s">
        <v>264</v>
      </c>
    </row>
    <row r="129" spans="1:8" x14ac:dyDescent="0.35">
      <c r="A129" s="10" t="s">
        <v>308</v>
      </c>
      <c r="B129" s="28">
        <f>(D19+D20+D21)/(D19+D20+D21+D23+D24+D22+D25+D26+D27+D28)</f>
        <v>0.3882110313406047</v>
      </c>
      <c r="C129" s="28">
        <f>(D23+D24)/(D19+D20+D21+D23+D24+D22+D25+D26+D27+D28)</f>
        <v>7.9758042247687427E-2</v>
      </c>
      <c r="D129" s="28">
        <f>(D22)/(D19+D20+D21+D23+D24+D22+D25+D26+D27+D28)</f>
        <v>0.13598474389065304</v>
      </c>
      <c r="E129" s="28">
        <f>(D25+D26+D27)/(D19+D20+D21+D23+D24+D22+D25+D26+D27+D28)</f>
        <v>0.10378123705646831</v>
      </c>
      <c r="F129" s="28">
        <f>(D28)/(D19+D20+D21+D23+D24+D22+D25+D26+D27+D28)</f>
        <v>0.29226494546458648</v>
      </c>
      <c r="G129" s="29">
        <f t="shared" ref="G129:G136" si="8">IF(COUNT(B129:F129)=5,SUM(B129:F129),"")</f>
        <v>1</v>
      </c>
      <c r="H129" s="7" t="s">
        <v>384</v>
      </c>
    </row>
    <row r="130" spans="1:8" x14ac:dyDescent="0.35">
      <c r="A130" s="10" t="s">
        <v>334</v>
      </c>
      <c r="B130" s="28">
        <f>(D31+D32+D33)/(D31+D32+D33+D35+D36+D34+D37+D38+D39+D40)</f>
        <v>0.38733834852160676</v>
      </c>
      <c r="C130" s="28">
        <f>(D35+D36)/(D31+D32+D33+D35+D36+D34+D37+D38+D39+D40)</f>
        <v>9.0572397436681551E-2</v>
      </c>
      <c r="D130" s="28">
        <f>(D34)/(D31+D32+D33+D35+D36+D34+D37+D38+D39+D40)</f>
        <v>0.13203264629331377</v>
      </c>
      <c r="E130" s="28">
        <f>(D37+D38+D39)/(D31+D32+D33+D35+D36+D34+D37+D38+D39+D40)</f>
        <v>7.632871908829586E-2</v>
      </c>
      <c r="F130" s="28">
        <f>(D40)/(D31+D32+D33+D35+D36+D34+D37+D38+D39+D40)</f>
        <v>0.31372788866010209</v>
      </c>
      <c r="G130" s="29">
        <f t="shared" si="8"/>
        <v>1</v>
      </c>
      <c r="H130" s="7" t="s">
        <v>384</v>
      </c>
    </row>
    <row r="131" spans="1:8" x14ac:dyDescent="0.35">
      <c r="A131" s="10" t="s">
        <v>335</v>
      </c>
      <c r="B131" s="28">
        <f>(D43+D44+D45)/(D43+D44+D45+D47+D48+D46+D49+D50+D51+D52)</f>
        <v>0.35363230400073226</v>
      </c>
      <c r="C131" s="28">
        <f>(D47+D48)/(D43+D44+D45+D47+D48+D46+D49+D50+D51+D52)</f>
        <v>9.6144416039543115E-2</v>
      </c>
      <c r="D131" s="28">
        <f>(D46)/(D43+D44+D45+D47+D48+D46+D49+D50+D51+D52)</f>
        <v>0.13218304379948609</v>
      </c>
      <c r="E131" s="28">
        <f>(D49+D50+D51)/(D43+D44+D45+D47+D48+D46+D49+D50+D51+D52)</f>
        <v>9.3803735934670174E-2</v>
      </c>
      <c r="F131" s="28">
        <f>(D52)/(D43+D44+D45+D47+D48+D46+D49+D50+D51+D52)</f>
        <v>0.32423650022556832</v>
      </c>
      <c r="G131" s="29">
        <f t="shared" si="8"/>
        <v>1</v>
      </c>
      <c r="H131" s="7" t="s">
        <v>384</v>
      </c>
    </row>
    <row r="132" spans="1:8" x14ac:dyDescent="0.35">
      <c r="A132" s="10" t="s">
        <v>337</v>
      </c>
      <c r="B132" s="28">
        <f>(D55+D56+D57)/(D55+D56+D57+D59+D60+D58+D61+D62+D63+D64)</f>
        <v>0.32384073091181653</v>
      </c>
      <c r="C132" s="28">
        <f>(D59+D60)/(D55+D56+D57+D59+D60+D58+D61+D62+D63+D64)</f>
        <v>9.8403662662317926E-2</v>
      </c>
      <c r="D132" s="28">
        <f>(D58)/(D55+D56+D57+D59+D60+D58+D61+D62+D63+D64)</f>
        <v>0.12650669529809777</v>
      </c>
      <c r="E132" s="28">
        <f>(D61+D62+D63)/(D55+D56+D57+D59+D60+D58+D61+D62+D63+D64)</f>
        <v>0.13876283856329641</v>
      </c>
      <c r="F132" s="28">
        <f>(D64)/(D55+D56+D57+D59+D60+D58+D61+D62+D63+D64)</f>
        <v>0.31248607256447136</v>
      </c>
      <c r="G132" s="29">
        <f t="shared" si="8"/>
        <v>1</v>
      </c>
      <c r="H132" s="7" t="s">
        <v>384</v>
      </c>
    </row>
    <row r="133" spans="1:8" x14ac:dyDescent="0.35">
      <c r="A133" s="10" t="s">
        <v>340</v>
      </c>
      <c r="B133" s="28">
        <f>(D67+D68+D69)/(D67+D68+D69+D70+D71+D72+D73+D74+D75+D76+D77)</f>
        <v>0.33221898382643633</v>
      </c>
      <c r="C133" s="28">
        <f>(D70+D71+D72)/(D67+D68+D69+D70+D71+D72+D73+D74+D75+D76+D77)</f>
        <v>9.7130314214221899E-2</v>
      </c>
      <c r="D133" s="28">
        <f>(D73+D74)/(D67+D68+D69+D70+D71+D72+D73+D74+D75+D76+D77)</f>
        <v>0.13148650451331761</v>
      </c>
      <c r="E133" s="28">
        <f>(D75+D76)/(D67+D68+D69+D70+D71+D72+D73+D74+D75+D76+D77)</f>
        <v>0.1250186960089579</v>
      </c>
      <c r="F133" s="28">
        <f>(D77)/(D67+D68+D69+D70+D71+D72+D73+D74+D75+D76+D77)</f>
        <v>0.31414550143706621</v>
      </c>
      <c r="G133" s="29">
        <f t="shared" si="8"/>
        <v>1</v>
      </c>
      <c r="H133" s="7" t="s">
        <v>385</v>
      </c>
    </row>
    <row r="134" spans="1:8" x14ac:dyDescent="0.35">
      <c r="A134" s="10" t="s">
        <v>361</v>
      </c>
      <c r="B134" s="28">
        <f>(D80+D81+D82)/(D80+D81+D82+D83+D84+D85+D86+D87+D88+D89+D90)</f>
        <v>0.33054459114075285</v>
      </c>
      <c r="C134" s="28">
        <f>(D83+D84+D85)/(D80+D81+D82+D83+D84+D85+D86+D87+D88+D89+D90)</f>
        <v>8.5945888722532254E-2</v>
      </c>
      <c r="D134" s="28">
        <f>(D86+D87)/(D80+D81+D82+D83+D84+D85+D86+D87+D88+D89+D90)</f>
        <v>0.13779471590823164</v>
      </c>
      <c r="E134" s="28">
        <f>(D88+D89)/(D80+D81+D82+D83+D84+D85+D86+D87+D88+D89+D90)</f>
        <v>0.13321839601953933</v>
      </c>
      <c r="F134" s="28">
        <f>(D90)/(D80+D81+D82+D83+D84+D85+D86+D87+D88+D89+D90)</f>
        <v>0.31249640820894392</v>
      </c>
      <c r="G134" s="29">
        <f t="shared" si="8"/>
        <v>1</v>
      </c>
      <c r="H134" s="7" t="s">
        <v>386</v>
      </c>
    </row>
    <row r="135" spans="1:8" x14ac:dyDescent="0.35">
      <c r="A135" s="10" t="s">
        <v>363</v>
      </c>
      <c r="B135" s="28">
        <f>(D93+D94+D95+D96)/(D93+D94+D95+D96+D97+D98+D99+D100+D101+D103+D102+D104+D105+D106)</f>
        <v>0.321901977866899</v>
      </c>
      <c r="C135" s="28">
        <f>(D97+D98+D99+D100)/(D93+D94+D95+D96+D97+D98+D99+D100+D101+D103+D102+D104+D105+D106)</f>
        <v>9.0524431132263397E-2</v>
      </c>
      <c r="D135" s="28">
        <f>(D101+D103+D102)/(D93+D94+D95+D96+D97+D98+D99+D100+D101+D103+D102+D104+D105+D106)</f>
        <v>0.14933243092106052</v>
      </c>
      <c r="E135" s="28">
        <f>(D104+D105)/(D93+D94+D95+D96+D97+D98+D99+D100+D101+D103+D102+D104+D105+D106)</f>
        <v>0.12753053441526804</v>
      </c>
      <c r="F135" s="28">
        <f>(D106)/(D93+D94+D95+D96+D97+D98+D99+D100+D101+D103+D102+D104+D105+D106)</f>
        <v>0.31071062566450902</v>
      </c>
      <c r="G135" s="29">
        <f t="shared" si="8"/>
        <v>1</v>
      </c>
      <c r="H135" s="7" t="s">
        <v>387</v>
      </c>
    </row>
    <row r="136" spans="1:8" x14ac:dyDescent="0.35">
      <c r="A136" s="10" t="s">
        <v>378</v>
      </c>
      <c r="B136" s="28">
        <f>(D109+D110+D111+D112)/(D109+D110+D111+D112+D113+D114+D115+D116+D117+D119+D118+D120+D121+D122)</f>
        <v>0.30301093190842687</v>
      </c>
      <c r="C136" s="28">
        <f>(D113+D114+D115+D116)/(D109+D110+D111+D112+D113+D114+D115+D116+D117+D119+D118+D120+D121+D122)</f>
        <v>0.10946026766017942</v>
      </c>
      <c r="D136" s="28">
        <f>(D117+D119+D118)/(D109+D110+D111+D112+D113+D114+D115+D116+D117+D119+D118+D120+D121+D122)</f>
        <v>0.13816755723319771</v>
      </c>
      <c r="E136" s="28">
        <f>(D120+D121)/(D109+D110+D111+D112+D113+D114+D115+D116+D117+D119+D118+D120+D121+D122)</f>
        <v>0.13154762488357272</v>
      </c>
      <c r="F136" s="28">
        <f>(D122)/(D109+D110+D111+D112+D113+D114+D115+D116+D117+D119+D118+D120+D121+D122)</f>
        <v>0.31781361831462329</v>
      </c>
      <c r="G136" s="29">
        <f t="shared" si="8"/>
        <v>1</v>
      </c>
      <c r="H136" s="7" t="s">
        <v>388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8" width="15" customWidth="1"/>
    <col min="9" max="9" width="30" customWidth="1"/>
  </cols>
  <sheetData>
    <row r="1" spans="1:9" ht="18" x14ac:dyDescent="0.4">
      <c r="A1" s="1" t="s">
        <v>389</v>
      </c>
    </row>
    <row r="2" spans="1:9" x14ac:dyDescent="0.35">
      <c r="A2" s="7" t="s">
        <v>390</v>
      </c>
    </row>
    <row r="4" spans="1:9" ht="48" customHeight="1" x14ac:dyDescent="0.35">
      <c r="A4" s="8" t="s">
        <v>39</v>
      </c>
      <c r="B4" s="8" t="s">
        <v>391</v>
      </c>
      <c r="C4" s="8" t="s">
        <v>392</v>
      </c>
      <c r="D4" s="8" t="s">
        <v>393</v>
      </c>
      <c r="E4" s="8" t="s">
        <v>46</v>
      </c>
      <c r="F4" s="8" t="s">
        <v>394</v>
      </c>
      <c r="G4" s="17" t="s">
        <v>129</v>
      </c>
      <c r="H4" s="17" t="s">
        <v>134</v>
      </c>
      <c r="I4" s="8" t="s">
        <v>264</v>
      </c>
    </row>
    <row r="5" spans="1:9" x14ac:dyDescent="0.35">
      <c r="A5" s="9" t="s">
        <v>70</v>
      </c>
      <c r="B5" s="27">
        <v>1.6799999999999999E-2</v>
      </c>
      <c r="C5" s="27">
        <v>4.4000000000000003E-3</v>
      </c>
      <c r="D5" s="30"/>
      <c r="E5" s="30"/>
      <c r="F5" s="27">
        <v>0.74</v>
      </c>
      <c r="G5" s="22" t="str">
        <f t="shared" ref="G5:G14" si="0">IF(OR(D5="",E5=""),"",1-E5/D5)</f>
        <v/>
      </c>
      <c r="H5" s="31"/>
      <c r="I5" s="23" t="s">
        <v>395</v>
      </c>
    </row>
    <row r="6" spans="1:9" x14ac:dyDescent="0.35">
      <c r="A6" s="9" t="s">
        <v>72</v>
      </c>
      <c r="B6" s="27">
        <v>1.41E-2</v>
      </c>
      <c r="C6" s="27">
        <v>4.3E-3</v>
      </c>
      <c r="D6" s="18">
        <v>1200</v>
      </c>
      <c r="E6" s="18">
        <v>390</v>
      </c>
      <c r="F6" s="27">
        <v>0.7</v>
      </c>
      <c r="G6" s="22">
        <f t="shared" si="0"/>
        <v>0.67500000000000004</v>
      </c>
      <c r="H6" s="32">
        <f t="shared" ref="H6:H14" si="1">B6-B5</f>
        <v>-2.6999999999999993E-3</v>
      </c>
      <c r="I6" s="23" t="s">
        <v>396</v>
      </c>
    </row>
    <row r="7" spans="1:9" x14ac:dyDescent="0.35">
      <c r="A7" s="9" t="s">
        <v>73</v>
      </c>
      <c r="B7" s="27">
        <v>1.54E-2</v>
      </c>
      <c r="C7" s="27">
        <v>6.3E-3</v>
      </c>
      <c r="D7" s="18">
        <v>1812</v>
      </c>
      <c r="E7" s="18">
        <v>735</v>
      </c>
      <c r="F7" s="27">
        <v>0.6</v>
      </c>
      <c r="G7" s="22">
        <f t="shared" si="0"/>
        <v>0.5943708609271523</v>
      </c>
      <c r="H7" s="32">
        <f t="shared" si="1"/>
        <v>1.3000000000000008E-3</v>
      </c>
      <c r="I7" s="23" t="s">
        <v>397</v>
      </c>
    </row>
    <row r="8" spans="1:9" x14ac:dyDescent="0.35">
      <c r="A8" s="9" t="s">
        <v>74</v>
      </c>
      <c r="B8" s="27">
        <v>1.61E-2</v>
      </c>
      <c r="C8" s="27">
        <v>6.4999999999999997E-3</v>
      </c>
      <c r="D8" s="18">
        <v>2363</v>
      </c>
      <c r="E8" s="18">
        <v>938</v>
      </c>
      <c r="F8" s="27">
        <v>0.6</v>
      </c>
      <c r="G8" s="22">
        <f t="shared" si="0"/>
        <v>0.60304697418535758</v>
      </c>
      <c r="H8" s="32">
        <f t="shared" si="1"/>
        <v>6.9999999999999923E-4</v>
      </c>
      <c r="I8" s="23" t="s">
        <v>398</v>
      </c>
    </row>
    <row r="9" spans="1:9" x14ac:dyDescent="0.35">
      <c r="A9" s="9" t="s">
        <v>75</v>
      </c>
      <c r="B9" s="27">
        <v>1.7899999999999999E-2</v>
      </c>
      <c r="C9" s="27">
        <v>7.4999999999999997E-3</v>
      </c>
      <c r="D9" s="18">
        <v>2731</v>
      </c>
      <c r="E9" s="18">
        <v>1136</v>
      </c>
      <c r="F9" s="27">
        <v>0.57999999999999996</v>
      </c>
      <c r="G9" s="22">
        <f t="shared" si="0"/>
        <v>0.58403515195898936</v>
      </c>
      <c r="H9" s="32">
        <f t="shared" si="1"/>
        <v>1.7999999999999995E-3</v>
      </c>
      <c r="I9" s="23" t="s">
        <v>399</v>
      </c>
    </row>
    <row r="10" spans="1:9" x14ac:dyDescent="0.35">
      <c r="A10" s="9" t="s">
        <v>76</v>
      </c>
      <c r="B10" s="27">
        <v>1.6E-2</v>
      </c>
      <c r="C10" s="27">
        <v>6.7999999999999996E-3</v>
      </c>
      <c r="D10" s="18">
        <v>3133</v>
      </c>
      <c r="E10" s="18">
        <v>1315</v>
      </c>
      <c r="F10" s="27">
        <v>0.57999999999999996</v>
      </c>
      <c r="G10" s="22">
        <f t="shared" si="0"/>
        <v>0.58027449728694536</v>
      </c>
      <c r="H10" s="32">
        <f t="shared" si="1"/>
        <v>-1.8999999999999989E-3</v>
      </c>
      <c r="I10" s="23" t="s">
        <v>400</v>
      </c>
    </row>
    <row r="11" spans="1:9" x14ac:dyDescent="0.35">
      <c r="A11" s="9" t="s">
        <v>77</v>
      </c>
      <c r="B11" s="27">
        <v>9.4000000000000004E-3</v>
      </c>
      <c r="C11" s="27">
        <v>3.3999999999999998E-3</v>
      </c>
      <c r="D11" s="18">
        <v>2313</v>
      </c>
      <c r="E11" s="18">
        <v>837</v>
      </c>
      <c r="F11" s="27">
        <v>0.64</v>
      </c>
      <c r="G11" s="22">
        <f t="shared" si="0"/>
        <v>0.63813229571984431</v>
      </c>
      <c r="H11" s="32">
        <f t="shared" si="1"/>
        <v>-6.6E-3</v>
      </c>
      <c r="I11" s="23" t="s">
        <v>401</v>
      </c>
    </row>
    <row r="12" spans="1:9" x14ac:dyDescent="0.35">
      <c r="A12" s="9" t="s">
        <v>78</v>
      </c>
      <c r="B12" s="27">
        <v>8.5000000000000006E-3</v>
      </c>
      <c r="C12" s="27">
        <v>3.7000000000000002E-3</v>
      </c>
      <c r="D12" s="18">
        <v>2816</v>
      </c>
      <c r="E12" s="18">
        <v>1210</v>
      </c>
      <c r="F12" s="27">
        <v>0.56999999999999995</v>
      </c>
      <c r="G12" s="22">
        <f t="shared" si="0"/>
        <v>0.5703125</v>
      </c>
      <c r="H12" s="32">
        <f t="shared" si="1"/>
        <v>-8.9999999999999976E-4</v>
      </c>
      <c r="I12" s="23" t="s">
        <v>401</v>
      </c>
    </row>
    <row r="13" spans="1:9" x14ac:dyDescent="0.35">
      <c r="A13" s="9" t="s">
        <v>79</v>
      </c>
      <c r="B13" s="27">
        <v>9.5999999999999992E-3</v>
      </c>
      <c r="C13" s="27">
        <v>4.4000000000000003E-3</v>
      </c>
      <c r="D13" s="18">
        <v>3965</v>
      </c>
      <c r="E13" s="18">
        <v>1835</v>
      </c>
      <c r="F13" s="27">
        <v>0.54</v>
      </c>
      <c r="G13" s="22">
        <f t="shared" si="0"/>
        <v>0.53720050441361922</v>
      </c>
      <c r="H13" s="32">
        <f t="shared" si="1"/>
        <v>1.0999999999999985E-3</v>
      </c>
      <c r="I13" s="23" t="s">
        <v>402</v>
      </c>
    </row>
    <row r="14" spans="1:9" x14ac:dyDescent="0.35">
      <c r="A14" s="9" t="s">
        <v>80</v>
      </c>
      <c r="B14" s="27">
        <v>1.01E-2</v>
      </c>
      <c r="C14" s="27">
        <v>4.1000000000000003E-3</v>
      </c>
      <c r="D14" s="18">
        <v>5119</v>
      </c>
      <c r="E14" s="18">
        <v>2062</v>
      </c>
      <c r="F14" s="27">
        <v>0.6</v>
      </c>
      <c r="G14" s="22">
        <f t="shared" si="0"/>
        <v>0.59718695057628435</v>
      </c>
      <c r="H14" s="32">
        <f t="shared" si="1"/>
        <v>5.0000000000000044E-4</v>
      </c>
      <c r="I14" s="23" t="s">
        <v>402</v>
      </c>
    </row>
    <row r="16" spans="1:9" x14ac:dyDescent="0.35">
      <c r="A16" s="7" t="s">
        <v>403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14" width="15" customWidth="1"/>
    <col min="15" max="15" width="30" customWidth="1"/>
  </cols>
  <sheetData>
    <row r="1" spans="1:15" ht="18" x14ac:dyDescent="0.4">
      <c r="A1" s="1" t="s">
        <v>404</v>
      </c>
    </row>
    <row r="2" spans="1:15" x14ac:dyDescent="0.35">
      <c r="A2" s="7" t="s">
        <v>405</v>
      </c>
    </row>
    <row r="4" spans="1:15" ht="48" customHeight="1" x14ac:dyDescent="0.35">
      <c r="A4" s="8" t="s">
        <v>39</v>
      </c>
      <c r="B4" s="8" t="s">
        <v>406</v>
      </c>
      <c r="C4" s="8" t="s">
        <v>407</v>
      </c>
      <c r="D4" s="8" t="s">
        <v>408</v>
      </c>
      <c r="E4" s="8" t="s">
        <v>409</v>
      </c>
      <c r="F4" s="8" t="s">
        <v>410</v>
      </c>
      <c r="G4" s="8" t="s">
        <v>411</v>
      </c>
      <c r="H4" s="17" t="s">
        <v>138</v>
      </c>
      <c r="I4" s="17" t="s">
        <v>143</v>
      </c>
      <c r="J4" s="17" t="s">
        <v>48</v>
      </c>
      <c r="K4" s="17" t="s">
        <v>49</v>
      </c>
      <c r="L4" s="17" t="s">
        <v>156</v>
      </c>
      <c r="M4" s="17" t="s">
        <v>161</v>
      </c>
      <c r="N4" s="17" t="s">
        <v>166</v>
      </c>
      <c r="O4" s="8" t="s">
        <v>264</v>
      </c>
    </row>
    <row r="5" spans="1:15" x14ac:dyDescent="0.35">
      <c r="A5" s="9" t="s">
        <v>70</v>
      </c>
      <c r="B5" s="30"/>
      <c r="C5" s="30"/>
      <c r="D5" s="30"/>
      <c r="E5" s="30"/>
      <c r="F5" s="30"/>
      <c r="G5" s="30"/>
      <c r="H5" s="24" t="str">
        <f t="shared" ref="H5:H14" si="0">IF(COUNT(B5:D5)&lt;3,"",SUM(B5:D5))</f>
        <v/>
      </c>
      <c r="I5" s="24" t="str">
        <f t="shared" ref="I5:I14" si="1">IF(COUNT(E5:G5)&lt;3,"",SUM(E5:G5))</f>
        <v/>
      </c>
      <c r="J5" s="22" t="str">
        <f t="shared" ref="J5:J14" si="2">IF(OR(H5=""),"",C5/H5)</f>
        <v/>
      </c>
      <c r="K5" s="22" t="str">
        <f t="shared" ref="K5:K14" si="3">IF(OR(H5=""),"",D5/H5)</f>
        <v/>
      </c>
      <c r="L5" s="22" t="str">
        <f t="shared" ref="L5:L14" si="4">IF(OR(H5="",I5=""),"",(E5+F5)/(B5+C5))</f>
        <v/>
      </c>
      <c r="M5" s="22" t="str">
        <f t="shared" ref="M5:M14" si="5">IF(OR(D5="",G5=""),"",G5/D5)</f>
        <v/>
      </c>
      <c r="N5" s="22" t="str">
        <f t="shared" ref="N5:N14" si="6">IF(OR(H5="",I5=""),"",I5/H5)</f>
        <v/>
      </c>
      <c r="O5" s="23" t="s">
        <v>412</v>
      </c>
    </row>
    <row r="6" spans="1:15" x14ac:dyDescent="0.35">
      <c r="A6" s="9" t="s">
        <v>72</v>
      </c>
      <c r="B6" s="18">
        <v>78351</v>
      </c>
      <c r="C6" s="18">
        <v>1082</v>
      </c>
      <c r="D6" s="18">
        <v>1200</v>
      </c>
      <c r="E6" s="18">
        <v>468</v>
      </c>
      <c r="F6" s="18">
        <v>252</v>
      </c>
      <c r="G6" s="18">
        <v>810</v>
      </c>
      <c r="H6" s="24">
        <f t="shared" si="0"/>
        <v>80633</v>
      </c>
      <c r="I6" s="24">
        <f t="shared" si="1"/>
        <v>1530</v>
      </c>
      <c r="J6" s="22">
        <f t="shared" si="2"/>
        <v>1.3418823558592636E-2</v>
      </c>
      <c r="K6" s="22">
        <f t="shared" si="3"/>
        <v>1.4882244242431758E-2</v>
      </c>
      <c r="L6" s="22">
        <f t="shared" si="4"/>
        <v>9.0642428209937939E-3</v>
      </c>
      <c r="M6" s="22">
        <f t="shared" si="5"/>
        <v>0.67500000000000004</v>
      </c>
      <c r="N6" s="22">
        <f t="shared" si="6"/>
        <v>1.8974861409100492E-2</v>
      </c>
      <c r="O6" s="23" t="s">
        <v>413</v>
      </c>
    </row>
    <row r="7" spans="1:15" x14ac:dyDescent="0.35">
      <c r="A7" s="9" t="s">
        <v>73</v>
      </c>
      <c r="B7" s="18">
        <v>110748</v>
      </c>
      <c r="C7" s="18">
        <v>2011</v>
      </c>
      <c r="D7" s="18">
        <v>1812</v>
      </c>
      <c r="E7" s="18">
        <v>619</v>
      </c>
      <c r="F7" s="18">
        <v>362</v>
      </c>
      <c r="G7" s="18">
        <v>1077</v>
      </c>
      <c r="H7" s="24">
        <f t="shared" si="0"/>
        <v>114571</v>
      </c>
      <c r="I7" s="24">
        <f t="shared" si="1"/>
        <v>2058</v>
      </c>
      <c r="J7" s="22">
        <f t="shared" si="2"/>
        <v>1.7552434734793274E-2</v>
      </c>
      <c r="K7" s="22">
        <f t="shared" si="3"/>
        <v>1.5815520506934563E-2</v>
      </c>
      <c r="L7" s="22">
        <f t="shared" si="4"/>
        <v>8.699970734043402E-3</v>
      </c>
      <c r="M7" s="22">
        <f t="shared" si="5"/>
        <v>0.5943708609271523</v>
      </c>
      <c r="N7" s="22">
        <f t="shared" si="6"/>
        <v>1.7962660708207137E-2</v>
      </c>
      <c r="O7" s="23" t="s">
        <v>414</v>
      </c>
    </row>
    <row r="8" spans="1:15" x14ac:dyDescent="0.35">
      <c r="A8" s="9" t="s">
        <v>74</v>
      </c>
      <c r="B8" s="18">
        <v>139589</v>
      </c>
      <c r="C8" s="18">
        <v>3148</v>
      </c>
      <c r="D8" s="18">
        <v>2363</v>
      </c>
      <c r="E8" s="18">
        <v>1712</v>
      </c>
      <c r="F8" s="18">
        <v>587</v>
      </c>
      <c r="G8" s="18">
        <v>1425</v>
      </c>
      <c r="H8" s="24">
        <f t="shared" si="0"/>
        <v>145100</v>
      </c>
      <c r="I8" s="24">
        <f t="shared" si="1"/>
        <v>3724</v>
      </c>
      <c r="J8" s="22">
        <f t="shared" si="2"/>
        <v>2.1695382494831151E-2</v>
      </c>
      <c r="K8" s="22">
        <f t="shared" si="3"/>
        <v>1.6285320468642315E-2</v>
      </c>
      <c r="L8" s="22">
        <f t="shared" si="4"/>
        <v>1.6106545604853681E-2</v>
      </c>
      <c r="M8" s="22">
        <f t="shared" si="5"/>
        <v>0.60304697418535758</v>
      </c>
      <c r="N8" s="22">
        <f t="shared" si="6"/>
        <v>2.5665058580289456E-2</v>
      </c>
      <c r="O8" s="23" t="s">
        <v>415</v>
      </c>
    </row>
    <row r="9" spans="1:15" x14ac:dyDescent="0.35">
      <c r="A9" s="9" t="s">
        <v>75</v>
      </c>
      <c r="B9" s="18">
        <v>141539</v>
      </c>
      <c r="C9" s="18">
        <v>6725</v>
      </c>
      <c r="D9" s="18">
        <v>2731</v>
      </c>
      <c r="E9" s="18">
        <v>1146</v>
      </c>
      <c r="F9" s="18">
        <v>1567</v>
      </c>
      <c r="G9" s="18">
        <v>1595</v>
      </c>
      <c r="H9" s="24">
        <f t="shared" si="0"/>
        <v>150995</v>
      </c>
      <c r="I9" s="24">
        <f t="shared" si="1"/>
        <v>4308</v>
      </c>
      <c r="J9" s="22">
        <f t="shared" si="2"/>
        <v>4.4537898605914103E-2</v>
      </c>
      <c r="K9" s="22">
        <f t="shared" si="3"/>
        <v>1.8086691612305042E-2</v>
      </c>
      <c r="L9" s="22">
        <f t="shared" si="4"/>
        <v>1.8298440619435603E-2</v>
      </c>
      <c r="M9" s="22">
        <f t="shared" si="5"/>
        <v>0.58403515195898936</v>
      </c>
      <c r="N9" s="22">
        <f t="shared" si="6"/>
        <v>2.853074605119375E-2</v>
      </c>
      <c r="O9" s="23" t="s">
        <v>416</v>
      </c>
    </row>
    <row r="10" spans="1:15" x14ac:dyDescent="0.35">
      <c r="A10" s="9" t="s">
        <v>76</v>
      </c>
      <c r="B10" s="18">
        <v>188834</v>
      </c>
      <c r="C10" s="18">
        <v>3861</v>
      </c>
      <c r="D10" s="18">
        <v>3133</v>
      </c>
      <c r="E10" s="18">
        <v>1507</v>
      </c>
      <c r="F10" s="18">
        <v>1079</v>
      </c>
      <c r="G10" s="18">
        <v>1819</v>
      </c>
      <c r="H10" s="24">
        <f t="shared" si="0"/>
        <v>195828</v>
      </c>
      <c r="I10" s="24">
        <f t="shared" si="1"/>
        <v>4405</v>
      </c>
      <c r="J10" s="22">
        <f t="shared" si="2"/>
        <v>1.97162816349041E-2</v>
      </c>
      <c r="K10" s="22">
        <f t="shared" si="3"/>
        <v>1.5998733582531611E-2</v>
      </c>
      <c r="L10" s="22">
        <f t="shared" si="4"/>
        <v>1.3420171774047069E-2</v>
      </c>
      <c r="M10" s="22">
        <f t="shared" si="5"/>
        <v>0.58059368017874247</v>
      </c>
      <c r="N10" s="22">
        <f t="shared" si="6"/>
        <v>2.2494229630083542E-2</v>
      </c>
      <c r="O10" s="23" t="s">
        <v>417</v>
      </c>
    </row>
    <row r="11" spans="1:15" x14ac:dyDescent="0.35">
      <c r="A11" s="9" t="s">
        <v>77</v>
      </c>
      <c r="B11" s="18">
        <v>241290</v>
      </c>
      <c r="C11" s="18">
        <v>3033</v>
      </c>
      <c r="D11" s="18">
        <v>2313</v>
      </c>
      <c r="E11" s="18">
        <v>1957</v>
      </c>
      <c r="F11" s="18">
        <v>933</v>
      </c>
      <c r="G11" s="18">
        <v>1476</v>
      </c>
      <c r="H11" s="24">
        <f t="shared" si="0"/>
        <v>246636</v>
      </c>
      <c r="I11" s="24">
        <f t="shared" si="1"/>
        <v>4366</v>
      </c>
      <c r="J11" s="22">
        <f t="shared" si="2"/>
        <v>1.2297474821193987E-2</v>
      </c>
      <c r="K11" s="22">
        <f t="shared" si="3"/>
        <v>9.3781929645307249E-3</v>
      </c>
      <c r="L11" s="22">
        <f t="shared" si="4"/>
        <v>1.1828603938229312E-2</v>
      </c>
      <c r="M11" s="22">
        <f t="shared" si="5"/>
        <v>0.63813229571984431</v>
      </c>
      <c r="N11" s="22">
        <f t="shared" si="6"/>
        <v>1.7702200814155272E-2</v>
      </c>
      <c r="O11" s="23" t="s">
        <v>418</v>
      </c>
    </row>
    <row r="12" spans="1:15" x14ac:dyDescent="0.35">
      <c r="A12" s="9" t="s">
        <v>78</v>
      </c>
      <c r="B12" s="18">
        <v>324507</v>
      </c>
      <c r="C12" s="18">
        <v>4011</v>
      </c>
      <c r="D12" s="18">
        <v>2816</v>
      </c>
      <c r="E12" s="18">
        <v>2245</v>
      </c>
      <c r="F12" s="18">
        <v>1190</v>
      </c>
      <c r="G12" s="18">
        <v>1606</v>
      </c>
      <c r="H12" s="24">
        <f t="shared" si="0"/>
        <v>331334</v>
      </c>
      <c r="I12" s="24">
        <f t="shared" si="1"/>
        <v>5041</v>
      </c>
      <c r="J12" s="22">
        <f t="shared" si="2"/>
        <v>1.2105609445453832E-2</v>
      </c>
      <c r="K12" s="22">
        <f t="shared" si="3"/>
        <v>8.4989768632256265E-3</v>
      </c>
      <c r="L12" s="22">
        <f t="shared" si="4"/>
        <v>1.0456048070425364E-2</v>
      </c>
      <c r="M12" s="22">
        <f t="shared" si="5"/>
        <v>0.5703125</v>
      </c>
      <c r="N12" s="22">
        <f t="shared" si="6"/>
        <v>1.5214255102102411E-2</v>
      </c>
      <c r="O12" s="23" t="s">
        <v>418</v>
      </c>
    </row>
    <row r="13" spans="1:15" x14ac:dyDescent="0.35">
      <c r="A13" s="9" t="s">
        <v>79</v>
      </c>
      <c r="B13" s="18">
        <v>405458</v>
      </c>
      <c r="C13" s="18">
        <v>5404</v>
      </c>
      <c r="D13" s="18">
        <v>3965</v>
      </c>
      <c r="E13" s="18">
        <v>3104</v>
      </c>
      <c r="F13" s="18">
        <v>1749</v>
      </c>
      <c r="G13" s="18">
        <v>2130</v>
      </c>
      <c r="H13" s="24">
        <f t="shared" si="0"/>
        <v>414827</v>
      </c>
      <c r="I13" s="24">
        <f t="shared" si="1"/>
        <v>6983</v>
      </c>
      <c r="J13" s="22">
        <f t="shared" si="2"/>
        <v>1.3027117328428477E-2</v>
      </c>
      <c r="K13" s="22">
        <f t="shared" si="3"/>
        <v>9.5582013706918788E-3</v>
      </c>
      <c r="L13" s="22">
        <f t="shared" si="4"/>
        <v>1.1811751877759442E-2</v>
      </c>
      <c r="M13" s="22">
        <f t="shared" si="5"/>
        <v>0.53720050441361922</v>
      </c>
      <c r="N13" s="22">
        <f t="shared" si="6"/>
        <v>1.6833523372393792E-2</v>
      </c>
      <c r="O13" s="23" t="s">
        <v>419</v>
      </c>
    </row>
    <row r="14" spans="1:15" x14ac:dyDescent="0.35">
      <c r="A14" s="9" t="s">
        <v>80</v>
      </c>
      <c r="B14" s="18">
        <v>499359</v>
      </c>
      <c r="C14" s="18">
        <v>4766</v>
      </c>
      <c r="D14" s="18">
        <v>5119</v>
      </c>
      <c r="E14" s="18">
        <v>5088</v>
      </c>
      <c r="F14" s="18">
        <v>2155</v>
      </c>
      <c r="G14" s="18">
        <v>3057</v>
      </c>
      <c r="H14" s="24">
        <f t="shared" si="0"/>
        <v>509244</v>
      </c>
      <c r="I14" s="24">
        <f t="shared" si="1"/>
        <v>10300</v>
      </c>
      <c r="J14" s="22">
        <f t="shared" si="2"/>
        <v>9.3589713379048159E-3</v>
      </c>
      <c r="K14" s="22">
        <f t="shared" si="3"/>
        <v>1.0052155744593947E-2</v>
      </c>
      <c r="L14" s="22">
        <f t="shared" si="4"/>
        <v>1.436746838581701E-2</v>
      </c>
      <c r="M14" s="22">
        <f t="shared" si="5"/>
        <v>0.59718695057628446</v>
      </c>
      <c r="N14" s="22">
        <f t="shared" si="6"/>
        <v>2.0226060591779185E-2</v>
      </c>
      <c r="O14" s="23" t="s">
        <v>419</v>
      </c>
    </row>
    <row r="16" spans="1:15" x14ac:dyDescent="0.35">
      <c r="A16" s="7" t="s"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8" width="15" customWidth="1"/>
    <col min="9" max="9" width="30" customWidth="1"/>
  </cols>
  <sheetData>
    <row r="1" spans="1:9" ht="18" x14ac:dyDescent="0.4">
      <c r="A1" s="1" t="s">
        <v>421</v>
      </c>
    </row>
    <row r="2" spans="1:9" x14ac:dyDescent="0.35">
      <c r="A2" s="7" t="s">
        <v>422</v>
      </c>
    </row>
    <row r="4" spans="1:9" ht="48" customHeight="1" x14ac:dyDescent="0.35">
      <c r="A4" s="8" t="s">
        <v>39</v>
      </c>
      <c r="B4" s="8" t="s">
        <v>423</v>
      </c>
      <c r="C4" s="8" t="s">
        <v>424</v>
      </c>
      <c r="D4" s="8" t="s">
        <v>425</v>
      </c>
      <c r="E4" s="8" t="s">
        <v>426</v>
      </c>
      <c r="F4" s="17" t="s">
        <v>171</v>
      </c>
      <c r="G4" s="17" t="s">
        <v>176</v>
      </c>
      <c r="H4" s="17" t="s">
        <v>181</v>
      </c>
      <c r="I4" s="8" t="s">
        <v>264</v>
      </c>
    </row>
    <row r="5" spans="1:9" x14ac:dyDescent="0.35">
      <c r="A5" s="9" t="s">
        <v>70</v>
      </c>
      <c r="B5" s="18">
        <v>804</v>
      </c>
      <c r="C5" s="27">
        <v>1.61E-2</v>
      </c>
      <c r="D5" s="19"/>
      <c r="E5" s="19"/>
      <c r="F5" s="24">
        <f t="shared" ref="F5:F14" si="0">B5-N(E5)</f>
        <v>804</v>
      </c>
      <c r="G5" s="20"/>
      <c r="H5" s="20"/>
      <c r="I5" s="23" t="s">
        <v>427</v>
      </c>
    </row>
    <row r="6" spans="1:9" x14ac:dyDescent="0.35">
      <c r="A6" s="9" t="s">
        <v>72</v>
      </c>
      <c r="B6" s="18">
        <v>1030</v>
      </c>
      <c r="C6" s="27">
        <v>1.4999999999999999E-2</v>
      </c>
      <c r="D6" s="19"/>
      <c r="E6" s="19"/>
      <c r="F6" s="24">
        <f t="shared" si="0"/>
        <v>1030</v>
      </c>
      <c r="G6" s="22">
        <f>B6/AUM!G6</f>
        <v>1.4444179556577711E-2</v>
      </c>
      <c r="H6" s="22">
        <f t="shared" ref="H6:H14" si="1">B6/B5-1</f>
        <v>0.28109452736318419</v>
      </c>
      <c r="I6" s="23" t="s">
        <v>427</v>
      </c>
    </row>
    <row r="7" spans="1:9" x14ac:dyDescent="0.35">
      <c r="A7" s="9" t="s">
        <v>73</v>
      </c>
      <c r="B7" s="18">
        <v>1501</v>
      </c>
      <c r="C7" s="27">
        <v>1.55E-2</v>
      </c>
      <c r="D7" s="18">
        <v>965</v>
      </c>
      <c r="E7" s="19"/>
      <c r="F7" s="24">
        <f t="shared" si="0"/>
        <v>1501</v>
      </c>
      <c r="G7" s="22">
        <f>B7/AUM!G7</f>
        <v>1.5137915385003278E-2</v>
      </c>
      <c r="H7" s="22">
        <f t="shared" si="1"/>
        <v>0.45728155339805832</v>
      </c>
      <c r="I7" s="23" t="s">
        <v>428</v>
      </c>
    </row>
    <row r="8" spans="1:9" x14ac:dyDescent="0.35">
      <c r="A8" s="9" t="s">
        <v>74</v>
      </c>
      <c r="B8" s="18">
        <v>3929</v>
      </c>
      <c r="C8" s="27">
        <v>3.1E-2</v>
      </c>
      <c r="D8" s="18">
        <v>2248</v>
      </c>
      <c r="E8" s="18">
        <v>900</v>
      </c>
      <c r="F8" s="24">
        <f t="shared" si="0"/>
        <v>3029</v>
      </c>
      <c r="G8" s="22">
        <f>B8/AUM!G8</f>
        <v>2.9873669884162544E-2</v>
      </c>
      <c r="H8" s="22">
        <f t="shared" si="1"/>
        <v>1.6175882744836776</v>
      </c>
      <c r="I8" s="23" t="s">
        <v>429</v>
      </c>
    </row>
    <row r="9" spans="1:9" x14ac:dyDescent="0.35">
      <c r="A9" s="9" t="s">
        <v>75</v>
      </c>
      <c r="B9" s="18">
        <v>5969</v>
      </c>
      <c r="C9" s="27">
        <v>4.1399999999999999E-2</v>
      </c>
      <c r="D9" s="18">
        <v>5554</v>
      </c>
      <c r="E9" s="19"/>
      <c r="F9" s="24">
        <f t="shared" si="0"/>
        <v>5969</v>
      </c>
      <c r="G9" s="22">
        <f>B9/AUM!G9</f>
        <v>3.9780073308897032E-2</v>
      </c>
      <c r="H9" s="22">
        <f t="shared" si="1"/>
        <v>0.51921608551794352</v>
      </c>
      <c r="I9" s="23" t="s">
        <v>430</v>
      </c>
    </row>
    <row r="10" spans="1:9" x14ac:dyDescent="0.35">
      <c r="A10" s="9" t="s">
        <v>76</v>
      </c>
      <c r="B10" s="18">
        <v>4803</v>
      </c>
      <c r="C10" s="27">
        <v>2.8400000000000002E-2</v>
      </c>
      <c r="D10" s="18">
        <v>4807</v>
      </c>
      <c r="E10" s="19"/>
      <c r="F10" s="24">
        <f t="shared" si="0"/>
        <v>4803</v>
      </c>
      <c r="G10" s="22">
        <f>B10/AUM!G10</f>
        <v>2.7414461799263126E-2</v>
      </c>
      <c r="H10" s="22">
        <f t="shared" si="1"/>
        <v>-0.19534260345116439</v>
      </c>
      <c r="I10" s="23" t="s">
        <v>431</v>
      </c>
    </row>
    <row r="11" spans="1:9" x14ac:dyDescent="0.35">
      <c r="A11" s="9" t="s">
        <v>77</v>
      </c>
      <c r="B11" s="18">
        <v>3190</v>
      </c>
      <c r="C11" s="27">
        <v>1.47E-2</v>
      </c>
      <c r="D11" s="19"/>
      <c r="E11" s="19"/>
      <c r="F11" s="24">
        <f t="shared" si="0"/>
        <v>3190</v>
      </c>
      <c r="G11" s="22">
        <f>B11/AUM!G11</f>
        <v>1.4342525588369516E-2</v>
      </c>
      <c r="H11" s="22">
        <f t="shared" si="1"/>
        <v>-0.33583177180928592</v>
      </c>
      <c r="I11" s="23" t="s">
        <v>427</v>
      </c>
    </row>
    <row r="12" spans="1:9" x14ac:dyDescent="0.35">
      <c r="A12" s="9" t="s">
        <v>78</v>
      </c>
      <c r="B12" s="18">
        <v>4631</v>
      </c>
      <c r="C12" s="27">
        <v>1.6299999999999999E-2</v>
      </c>
      <c r="D12" s="19"/>
      <c r="E12" s="19"/>
      <c r="F12" s="24">
        <f t="shared" si="0"/>
        <v>4631</v>
      </c>
      <c r="G12" s="22">
        <f>B12/AUM!G12</f>
        <v>1.602438779641311E-2</v>
      </c>
      <c r="H12" s="22">
        <f t="shared" si="1"/>
        <v>0.45172413793103439</v>
      </c>
      <c r="I12" s="23" t="s">
        <v>432</v>
      </c>
    </row>
    <row r="13" spans="1:9" x14ac:dyDescent="0.35">
      <c r="A13" s="9" t="s">
        <v>79</v>
      </c>
      <c r="B13" s="18">
        <v>7966</v>
      </c>
      <c r="C13" s="27">
        <v>2.1700000000000001E-2</v>
      </c>
      <c r="D13" s="19"/>
      <c r="E13" s="18">
        <v>359</v>
      </c>
      <c r="F13" s="24">
        <f t="shared" si="0"/>
        <v>7607</v>
      </c>
      <c r="G13" s="22">
        <f>B13/AUM!G13</f>
        <v>2.1320101274495636E-2</v>
      </c>
      <c r="H13" s="22">
        <f t="shared" si="1"/>
        <v>0.72014683653638523</v>
      </c>
      <c r="I13" s="23" t="s">
        <v>433</v>
      </c>
    </row>
    <row r="14" spans="1:9" x14ac:dyDescent="0.35">
      <c r="A14" s="9" t="s">
        <v>80</v>
      </c>
      <c r="B14" s="18">
        <v>10282</v>
      </c>
      <c r="C14" s="27">
        <v>2.2700000000000001E-2</v>
      </c>
      <c r="D14" s="19"/>
      <c r="E14" s="18">
        <v>1548</v>
      </c>
      <c r="F14" s="24">
        <f t="shared" si="0"/>
        <v>8734</v>
      </c>
      <c r="G14" s="22">
        <f>B14/AUM!G14</f>
        <v>2.2192101321338691E-2</v>
      </c>
      <c r="H14" s="22">
        <f t="shared" si="1"/>
        <v>0.29073562641225204</v>
      </c>
      <c r="I14" s="23" t="s">
        <v>434</v>
      </c>
    </row>
    <row r="16" spans="1:9" x14ac:dyDescent="0.35">
      <c r="A16" s="7" t="s">
        <v>435</v>
      </c>
    </row>
    <row r="17" spans="1:1" x14ac:dyDescent="0.35">
      <c r="A17" s="7" t="s">
        <v>436</v>
      </c>
    </row>
    <row r="18" spans="1:1" x14ac:dyDescent="0.35">
      <c r="A18" s="7" t="s">
        <v>437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10" width="15" customWidth="1"/>
    <col min="11" max="11" width="30" customWidth="1"/>
  </cols>
  <sheetData>
    <row r="1" spans="1:11" ht="18" x14ac:dyDescent="0.4">
      <c r="A1" s="1" t="s">
        <v>438</v>
      </c>
    </row>
    <row r="2" spans="1:11" x14ac:dyDescent="0.35">
      <c r="A2" s="7" t="s">
        <v>439</v>
      </c>
    </row>
    <row r="4" spans="1:11" ht="48" customHeight="1" x14ac:dyDescent="0.35">
      <c r="A4" s="8" t="s">
        <v>39</v>
      </c>
      <c r="B4" s="8" t="s">
        <v>54</v>
      </c>
      <c r="C4" s="8" t="s">
        <v>55</v>
      </c>
      <c r="D4" s="17" t="s">
        <v>185</v>
      </c>
      <c r="E4" s="8" t="s">
        <v>440</v>
      </c>
      <c r="F4" s="8" t="s">
        <v>441</v>
      </c>
      <c r="G4" s="8" t="s">
        <v>442</v>
      </c>
      <c r="H4" s="8" t="s">
        <v>443</v>
      </c>
      <c r="I4" s="17" t="s">
        <v>57</v>
      </c>
      <c r="J4" s="17" t="s">
        <v>194</v>
      </c>
      <c r="K4" s="8" t="s">
        <v>264</v>
      </c>
    </row>
    <row r="5" spans="1:11" x14ac:dyDescent="0.35">
      <c r="A5" s="9" t="s">
        <v>70</v>
      </c>
      <c r="B5" s="27">
        <v>0.20300000000000001</v>
      </c>
      <c r="C5" s="27">
        <v>0.14599999999999999</v>
      </c>
      <c r="D5" s="22">
        <f t="shared" ref="D5:D14" si="0">B5-C5</f>
        <v>5.7000000000000023E-2</v>
      </c>
      <c r="E5" s="33">
        <v>6.6</v>
      </c>
      <c r="F5" s="19"/>
      <c r="G5" s="19"/>
      <c r="H5" s="19"/>
      <c r="I5" s="34" t="str">
        <f t="shared" ref="I5:I14" si="1">IF(OR(H5="",G5=""),"",H5/G5)</f>
        <v/>
      </c>
      <c r="J5" s="34" t="str">
        <f t="shared" ref="J5:J14" si="2">IF(OR(F5="",G5=""),"",F5/G5)</f>
        <v/>
      </c>
      <c r="K5" s="23" t="s">
        <v>444</v>
      </c>
    </row>
    <row r="6" spans="1:11" x14ac:dyDescent="0.35">
      <c r="A6" s="9" t="s">
        <v>72</v>
      </c>
      <c r="B6" s="27">
        <v>0.24709999999999999</v>
      </c>
      <c r="C6" s="27">
        <v>0.1968</v>
      </c>
      <c r="D6" s="22">
        <f t="shared" si="0"/>
        <v>5.0299999999999984E-2</v>
      </c>
      <c r="E6" s="33">
        <v>5.4</v>
      </c>
      <c r="F6" s="19"/>
      <c r="G6" s="19"/>
      <c r="H6" s="19"/>
      <c r="I6" s="34" t="str">
        <f t="shared" si="1"/>
        <v/>
      </c>
      <c r="J6" s="34" t="str">
        <f t="shared" si="2"/>
        <v/>
      </c>
      <c r="K6" s="23" t="s">
        <v>445</v>
      </c>
    </row>
    <row r="7" spans="1:11" x14ac:dyDescent="0.35">
      <c r="A7" s="9" t="s">
        <v>73</v>
      </c>
      <c r="B7" s="27">
        <v>0.20660000000000001</v>
      </c>
      <c r="C7" s="27">
        <v>0.16270000000000001</v>
      </c>
      <c r="D7" s="22">
        <f t="shared" si="0"/>
        <v>4.3899999999999995E-2</v>
      </c>
      <c r="E7" s="33">
        <v>6.3</v>
      </c>
      <c r="F7" s="18">
        <v>124233</v>
      </c>
      <c r="G7" s="18">
        <v>19697</v>
      </c>
      <c r="H7" s="18">
        <v>101588</v>
      </c>
      <c r="I7" s="34">
        <f t="shared" si="1"/>
        <v>5.1575366807127985</v>
      </c>
      <c r="J7" s="34">
        <f t="shared" si="2"/>
        <v>6.3072041427628571</v>
      </c>
      <c r="K7" s="23" t="s">
        <v>446</v>
      </c>
    </row>
    <row r="8" spans="1:11" x14ac:dyDescent="0.35">
      <c r="A8" s="9" t="s">
        <v>74</v>
      </c>
      <c r="B8" s="27">
        <v>0.25009999999999999</v>
      </c>
      <c r="C8" s="27">
        <v>0.2127</v>
      </c>
      <c r="D8" s="22">
        <f t="shared" si="0"/>
        <v>3.7399999999999989E-2</v>
      </c>
      <c r="E8" s="33">
        <v>5.0999999999999996</v>
      </c>
      <c r="F8" s="18">
        <v>164391</v>
      </c>
      <c r="G8" s="18">
        <v>32328</v>
      </c>
      <c r="H8" s="18">
        <v>129806</v>
      </c>
      <c r="I8" s="34">
        <f t="shared" si="1"/>
        <v>4.0152808710715169</v>
      </c>
      <c r="J8" s="34">
        <f t="shared" si="2"/>
        <v>5.0850965107646626</v>
      </c>
      <c r="K8" s="23" t="s">
        <v>447</v>
      </c>
    </row>
    <row r="9" spans="1:11" x14ac:dyDescent="0.35">
      <c r="A9" s="9" t="s">
        <v>75</v>
      </c>
      <c r="B9" s="27">
        <v>0.28310000000000002</v>
      </c>
      <c r="C9" s="27">
        <v>0.25109999999999999</v>
      </c>
      <c r="D9" s="22">
        <f t="shared" si="0"/>
        <v>3.2000000000000028E-2</v>
      </c>
      <c r="E9" s="33">
        <v>4.7</v>
      </c>
      <c r="F9" s="19"/>
      <c r="G9" s="19"/>
      <c r="H9" s="19"/>
      <c r="I9" s="34" t="str">
        <f t="shared" si="1"/>
        <v/>
      </c>
      <c r="J9" s="34" t="str">
        <f t="shared" si="2"/>
        <v/>
      </c>
      <c r="K9" s="23" t="s">
        <v>448</v>
      </c>
    </row>
    <row r="10" spans="1:11" x14ac:dyDescent="0.35">
      <c r="A10" s="9" t="s">
        <v>76</v>
      </c>
      <c r="B10" s="27">
        <v>0.2722</v>
      </c>
      <c r="C10" s="27">
        <v>0.2475</v>
      </c>
      <c r="D10" s="22">
        <f t="shared" si="0"/>
        <v>2.47E-2</v>
      </c>
      <c r="E10" s="33">
        <v>4.9000000000000004</v>
      </c>
      <c r="F10" s="19"/>
      <c r="G10" s="19"/>
      <c r="H10" s="19"/>
      <c r="I10" s="34" t="str">
        <f t="shared" si="1"/>
        <v/>
      </c>
      <c r="J10" s="34" t="str">
        <f t="shared" si="2"/>
        <v/>
      </c>
      <c r="K10" s="23" t="s">
        <v>449</v>
      </c>
    </row>
    <row r="11" spans="1:11" x14ac:dyDescent="0.35">
      <c r="A11" s="9" t="s">
        <v>77</v>
      </c>
      <c r="B11" s="27">
        <v>0.24970000000000001</v>
      </c>
      <c r="C11" s="27">
        <v>0.23200000000000001</v>
      </c>
      <c r="D11" s="22">
        <f t="shared" si="0"/>
        <v>1.7699999999999994E-2</v>
      </c>
      <c r="E11" s="33">
        <v>5.0999999999999996</v>
      </c>
      <c r="F11" s="19"/>
      <c r="G11" s="19"/>
      <c r="H11" s="19"/>
      <c r="I11" s="34" t="str">
        <f t="shared" si="1"/>
        <v/>
      </c>
      <c r="J11" s="34" t="str">
        <f t="shared" si="2"/>
        <v/>
      </c>
      <c r="K11" s="23" t="s">
        <v>450</v>
      </c>
    </row>
    <row r="12" spans="1:11" x14ac:dyDescent="0.35">
      <c r="A12" s="9" t="s">
        <v>78</v>
      </c>
      <c r="B12" s="27">
        <v>0.22520000000000001</v>
      </c>
      <c r="C12" s="27">
        <v>0.21510000000000001</v>
      </c>
      <c r="D12" s="22">
        <f t="shared" si="0"/>
        <v>1.0099999999999998E-2</v>
      </c>
      <c r="E12" s="33">
        <v>4.9000000000000004</v>
      </c>
      <c r="F12" s="19"/>
      <c r="G12" s="19"/>
      <c r="H12" s="19"/>
      <c r="I12" s="34" t="str">
        <f t="shared" si="1"/>
        <v/>
      </c>
      <c r="J12" s="34" t="str">
        <f t="shared" si="2"/>
        <v/>
      </c>
      <c r="K12" s="23" t="s">
        <v>451</v>
      </c>
    </row>
    <row r="13" spans="1:11" x14ac:dyDescent="0.35">
      <c r="A13" s="9" t="s">
        <v>79</v>
      </c>
      <c r="B13" s="27">
        <v>0.219</v>
      </c>
      <c r="C13" s="27">
        <v>0.21099999999999999</v>
      </c>
      <c r="D13" s="22">
        <f t="shared" si="0"/>
        <v>8.0000000000000071E-3</v>
      </c>
      <c r="E13" s="33">
        <v>4.7</v>
      </c>
      <c r="F13" s="19"/>
      <c r="G13" s="19"/>
      <c r="H13" s="19"/>
      <c r="I13" s="34" t="str">
        <f t="shared" si="1"/>
        <v/>
      </c>
      <c r="J13" s="34" t="str">
        <f t="shared" si="2"/>
        <v/>
      </c>
      <c r="K13" s="23" t="s">
        <v>444</v>
      </c>
    </row>
    <row r="14" spans="1:11" x14ac:dyDescent="0.35">
      <c r="A14" s="9" t="s">
        <v>80</v>
      </c>
      <c r="B14" s="27">
        <v>0.2155</v>
      </c>
      <c r="C14" s="27">
        <v>0.20669999999999999</v>
      </c>
      <c r="D14" s="22">
        <f t="shared" si="0"/>
        <v>8.8000000000000023E-3</v>
      </c>
      <c r="E14" s="33">
        <v>4.8</v>
      </c>
      <c r="F14" s="19"/>
      <c r="G14" s="19"/>
      <c r="H14" s="19"/>
      <c r="I14" s="34" t="str">
        <f t="shared" si="1"/>
        <v/>
      </c>
      <c r="J14" s="34" t="str">
        <f t="shared" si="2"/>
        <v/>
      </c>
      <c r="K14" s="23" t="s">
        <v>452</v>
      </c>
    </row>
    <row r="16" spans="1:11" x14ac:dyDescent="0.35">
      <c r="A16" s="7" t="s">
        <v>453</v>
      </c>
    </row>
    <row r="17" spans="1:1" x14ac:dyDescent="0.35">
      <c r="A17" s="7" t="s">
        <v>454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16" width="15" customWidth="1"/>
    <col min="17" max="17" width="30" customWidth="1"/>
  </cols>
  <sheetData>
    <row r="1" spans="1:17" ht="18" x14ac:dyDescent="0.4">
      <c r="A1" s="1" t="s">
        <v>455</v>
      </c>
    </row>
    <row r="2" spans="1:17" x14ac:dyDescent="0.35">
      <c r="A2" s="7" t="s">
        <v>456</v>
      </c>
    </row>
    <row r="4" spans="1:17" ht="48" customHeight="1" x14ac:dyDescent="0.35">
      <c r="A4" s="8" t="s">
        <v>39</v>
      </c>
      <c r="B4" s="8" t="s">
        <v>457</v>
      </c>
      <c r="C4" s="8" t="s">
        <v>458</v>
      </c>
      <c r="D4" s="8" t="s">
        <v>459</v>
      </c>
      <c r="E4" s="8" t="s">
        <v>460</v>
      </c>
      <c r="F4" s="8" t="s">
        <v>461</v>
      </c>
      <c r="G4" s="17" t="s">
        <v>199</v>
      </c>
      <c r="H4" s="8" t="s">
        <v>462</v>
      </c>
      <c r="I4" s="8" t="s">
        <v>463</v>
      </c>
      <c r="J4" s="8" t="s">
        <v>464</v>
      </c>
      <c r="K4" s="8" t="s">
        <v>465</v>
      </c>
      <c r="L4" s="8" t="s">
        <v>466</v>
      </c>
      <c r="M4" s="17" t="s">
        <v>204</v>
      </c>
      <c r="N4" s="17" t="s">
        <v>209</v>
      </c>
      <c r="O4" s="17" t="s">
        <v>214</v>
      </c>
      <c r="P4" s="17" t="s">
        <v>219</v>
      </c>
      <c r="Q4" s="8" t="s">
        <v>264</v>
      </c>
    </row>
    <row r="5" spans="1:17" x14ac:dyDescent="0.35">
      <c r="A5" s="9" t="s">
        <v>70</v>
      </c>
      <c r="B5" s="18">
        <v>9989</v>
      </c>
      <c r="C5" s="18">
        <v>3803</v>
      </c>
      <c r="D5" s="18">
        <v>6186</v>
      </c>
      <c r="E5" s="19"/>
      <c r="F5" s="18">
        <v>2564</v>
      </c>
      <c r="G5" s="11">
        <f>Credit_Losses!B5</f>
        <v>804</v>
      </c>
      <c r="H5" s="18">
        <v>2818</v>
      </c>
      <c r="I5" s="18">
        <v>1837</v>
      </c>
      <c r="J5" s="27">
        <v>3.6999999999999998E-2</v>
      </c>
      <c r="K5" s="27">
        <v>0.216</v>
      </c>
      <c r="L5" s="27">
        <v>0.09</v>
      </c>
      <c r="M5" s="22">
        <f t="shared" ref="M5:M14" si="0">F5/D5</f>
        <v>0.41448431943097319</v>
      </c>
      <c r="N5" s="22">
        <f t="shared" ref="N5:N14" si="1">G5/D5</f>
        <v>0.12997090203685743</v>
      </c>
      <c r="O5" s="24">
        <f t="shared" ref="O5:O14" si="2">D5-F5</f>
        <v>3622</v>
      </c>
      <c r="P5" s="20"/>
      <c r="Q5" s="23" t="s">
        <v>467</v>
      </c>
    </row>
    <row r="6" spans="1:17" x14ac:dyDescent="0.35">
      <c r="A6" s="9" t="s">
        <v>72</v>
      </c>
      <c r="B6" s="18">
        <v>12757</v>
      </c>
      <c r="C6" s="18">
        <v>4614</v>
      </c>
      <c r="D6" s="18">
        <v>8143</v>
      </c>
      <c r="E6" s="19"/>
      <c r="F6" s="18">
        <v>3270</v>
      </c>
      <c r="G6" s="11">
        <f>Credit_Losses!B6</f>
        <v>1030</v>
      </c>
      <c r="H6" s="18">
        <v>3843</v>
      </c>
      <c r="I6" s="18">
        <v>2496</v>
      </c>
      <c r="J6" s="27">
        <v>3.6999999999999998E-2</v>
      </c>
      <c r="K6" s="27">
        <v>0.20100000000000001</v>
      </c>
      <c r="L6" s="27">
        <v>8.2400000000000001E-2</v>
      </c>
      <c r="M6" s="22">
        <f t="shared" si="0"/>
        <v>0.40157190224732897</v>
      </c>
      <c r="N6" s="22">
        <f t="shared" si="1"/>
        <v>0.12648900896475501</v>
      </c>
      <c r="O6" s="24">
        <f t="shared" si="2"/>
        <v>4873</v>
      </c>
      <c r="P6" s="22">
        <f t="shared" ref="P6:P14" si="3">I6/I5-1</f>
        <v>0.35873707131192156</v>
      </c>
      <c r="Q6" s="23" t="s">
        <v>467</v>
      </c>
    </row>
    <row r="7" spans="1:17" x14ac:dyDescent="0.35">
      <c r="A7" s="9" t="s">
        <v>73</v>
      </c>
      <c r="B7" s="18">
        <v>18500</v>
      </c>
      <c r="C7" s="18">
        <v>6623</v>
      </c>
      <c r="D7" s="18">
        <v>11877</v>
      </c>
      <c r="E7" s="19"/>
      <c r="F7" s="18">
        <v>4197</v>
      </c>
      <c r="G7" s="11">
        <f>Credit_Losses!B7</f>
        <v>1501</v>
      </c>
      <c r="H7" s="18">
        <v>6179</v>
      </c>
      <c r="I7" s="18">
        <v>3995</v>
      </c>
      <c r="J7" s="27">
        <v>4.2000000000000003E-2</v>
      </c>
      <c r="K7" s="27">
        <v>0.2248</v>
      </c>
      <c r="L7" s="27">
        <v>8.2699999999999996E-2</v>
      </c>
      <c r="M7" s="22">
        <f t="shared" si="0"/>
        <v>0.35337206365243751</v>
      </c>
      <c r="N7" s="22">
        <f t="shared" si="1"/>
        <v>0.1263787151637619</v>
      </c>
      <c r="O7" s="24">
        <f t="shared" si="2"/>
        <v>7680</v>
      </c>
      <c r="P7" s="22">
        <f t="shared" si="3"/>
        <v>0.60056089743589736</v>
      </c>
      <c r="Q7" s="23" t="s">
        <v>468</v>
      </c>
    </row>
    <row r="8" spans="1:17" x14ac:dyDescent="0.35">
      <c r="A8" s="9" t="s">
        <v>74</v>
      </c>
      <c r="B8" s="18">
        <v>26386</v>
      </c>
      <c r="C8" s="18">
        <v>9473</v>
      </c>
      <c r="D8" s="18">
        <v>16913</v>
      </c>
      <c r="E8" s="19"/>
      <c r="F8" s="18">
        <v>5662</v>
      </c>
      <c r="G8" s="11">
        <f>Credit_Losses!B8</f>
        <v>3929</v>
      </c>
      <c r="H8" s="18">
        <v>7322</v>
      </c>
      <c r="I8" s="18">
        <v>5264</v>
      </c>
      <c r="J8" s="27">
        <v>4.1500000000000002E-2</v>
      </c>
      <c r="K8" s="27">
        <v>0.2024</v>
      </c>
      <c r="L8" s="27">
        <v>8.3900000000000002E-2</v>
      </c>
      <c r="M8" s="22">
        <f t="shared" si="0"/>
        <v>0.33477206882279903</v>
      </c>
      <c r="N8" s="22">
        <f t="shared" si="1"/>
        <v>0.23230650978537221</v>
      </c>
      <c r="O8" s="24">
        <f t="shared" si="2"/>
        <v>11251</v>
      </c>
      <c r="P8" s="22">
        <f t="shared" si="3"/>
        <v>0.31764705882352939</v>
      </c>
      <c r="Q8" s="23" t="s">
        <v>468</v>
      </c>
    </row>
    <row r="9" spans="1:17" x14ac:dyDescent="0.35">
      <c r="A9" s="9" t="s">
        <v>75</v>
      </c>
      <c r="B9" s="18">
        <v>26683</v>
      </c>
      <c r="C9" s="18">
        <v>9414</v>
      </c>
      <c r="D9" s="18">
        <v>17269</v>
      </c>
      <c r="E9" s="19"/>
      <c r="F9" s="18">
        <v>5308</v>
      </c>
      <c r="G9" s="11">
        <f>Credit_Losses!B9</f>
        <v>5969</v>
      </c>
      <c r="H9" s="18">
        <v>5992</v>
      </c>
      <c r="I9" s="18">
        <v>4420</v>
      </c>
      <c r="J9" s="27">
        <v>3.0700000000000002E-2</v>
      </c>
      <c r="K9" s="27">
        <v>0.12770000000000001</v>
      </c>
      <c r="L9" s="27">
        <v>7.8399999999999997E-2</v>
      </c>
      <c r="M9" s="22">
        <f t="shared" si="0"/>
        <v>0.30737159071167991</v>
      </c>
      <c r="N9" s="22">
        <f t="shared" si="1"/>
        <v>0.34564827146910648</v>
      </c>
      <c r="O9" s="24">
        <f t="shared" si="2"/>
        <v>11961</v>
      </c>
      <c r="P9" s="22">
        <f t="shared" si="3"/>
        <v>-0.16033434650455924</v>
      </c>
      <c r="Q9" s="23" t="s">
        <v>469</v>
      </c>
    </row>
    <row r="10" spans="1:17" x14ac:dyDescent="0.35">
      <c r="A10" s="9" t="s">
        <v>76</v>
      </c>
      <c r="B10" s="18">
        <v>31648</v>
      </c>
      <c r="C10" s="18">
        <v>9754</v>
      </c>
      <c r="D10" s="18">
        <v>21894</v>
      </c>
      <c r="E10" s="19"/>
      <c r="F10" s="18">
        <v>7587</v>
      </c>
      <c r="G10" s="11">
        <f>Credit_Losses!B10</f>
        <v>4803</v>
      </c>
      <c r="H10" s="18">
        <v>9504</v>
      </c>
      <c r="I10" s="18">
        <v>7028</v>
      </c>
      <c r="J10" s="27">
        <v>4.1599999999999998E-2</v>
      </c>
      <c r="K10" s="27">
        <v>0.17430000000000001</v>
      </c>
      <c r="L10" s="27">
        <v>6.8099999999999994E-2</v>
      </c>
      <c r="M10" s="22">
        <f t="shared" si="0"/>
        <v>0.34653329679364209</v>
      </c>
      <c r="N10" s="22">
        <f t="shared" si="1"/>
        <v>0.21937517127980269</v>
      </c>
      <c r="O10" s="24">
        <f t="shared" si="2"/>
        <v>14307</v>
      </c>
      <c r="P10" s="22">
        <f t="shared" si="3"/>
        <v>0.59004524886877818</v>
      </c>
      <c r="Q10" s="23" t="s">
        <v>470</v>
      </c>
    </row>
    <row r="11" spans="1:17" x14ac:dyDescent="0.35">
      <c r="A11" s="9" t="s">
        <v>77</v>
      </c>
      <c r="B11" s="18">
        <v>41418</v>
      </c>
      <c r="C11" s="18">
        <v>12560</v>
      </c>
      <c r="D11" s="18">
        <v>28858</v>
      </c>
      <c r="E11" s="18">
        <v>22989</v>
      </c>
      <c r="F11" s="18">
        <v>10142</v>
      </c>
      <c r="G11" s="11">
        <f>Credit_Losses!B11</f>
        <v>3190</v>
      </c>
      <c r="H11" s="18">
        <v>15528</v>
      </c>
      <c r="I11" s="18">
        <v>11508</v>
      </c>
      <c r="J11" s="27">
        <v>5.2999999999999999E-2</v>
      </c>
      <c r="K11" s="27">
        <v>0.2346</v>
      </c>
      <c r="L11" s="27">
        <v>7.0400000000000004E-2</v>
      </c>
      <c r="M11" s="22">
        <f t="shared" si="0"/>
        <v>0.35144500658396283</v>
      </c>
      <c r="N11" s="22">
        <f t="shared" si="1"/>
        <v>0.11054127105135492</v>
      </c>
      <c r="O11" s="24">
        <f t="shared" si="2"/>
        <v>18716</v>
      </c>
      <c r="P11" s="22">
        <f t="shared" si="3"/>
        <v>0.63745019920318735</v>
      </c>
      <c r="Q11" s="23" t="s">
        <v>432</v>
      </c>
    </row>
    <row r="12" spans="1:17" x14ac:dyDescent="0.35">
      <c r="A12" s="9" t="s">
        <v>78</v>
      </c>
      <c r="B12" s="18">
        <v>54983</v>
      </c>
      <c r="C12" s="18">
        <v>18725</v>
      </c>
      <c r="D12" s="18">
        <v>36258</v>
      </c>
      <c r="E12" s="18">
        <v>29582</v>
      </c>
      <c r="F12" s="18">
        <v>12325</v>
      </c>
      <c r="G12" s="11">
        <f>Credit_Losses!B12</f>
        <v>4631</v>
      </c>
      <c r="H12" s="18">
        <v>19310</v>
      </c>
      <c r="I12" s="18">
        <v>14451</v>
      </c>
      <c r="J12" s="27">
        <v>5.0799999999999998E-2</v>
      </c>
      <c r="K12" s="27">
        <v>0.2205</v>
      </c>
      <c r="L12" s="27">
        <v>7.7399999999999997E-2</v>
      </c>
      <c r="M12" s="22">
        <f t="shared" si="0"/>
        <v>0.33992498207292182</v>
      </c>
      <c r="N12" s="22">
        <f t="shared" si="1"/>
        <v>0.12772353687462076</v>
      </c>
      <c r="O12" s="24">
        <f t="shared" si="2"/>
        <v>23933</v>
      </c>
      <c r="P12" s="22">
        <f t="shared" si="3"/>
        <v>0.25573514077163706</v>
      </c>
      <c r="Q12" s="23" t="s">
        <v>432</v>
      </c>
    </row>
    <row r="13" spans="1:17" x14ac:dyDescent="0.35">
      <c r="A13" s="9" t="s">
        <v>79</v>
      </c>
      <c r="B13" s="18">
        <v>69725</v>
      </c>
      <c r="C13" s="18">
        <v>24771</v>
      </c>
      <c r="D13" s="18">
        <v>44954</v>
      </c>
      <c r="E13" s="18">
        <v>36394</v>
      </c>
      <c r="F13" s="18">
        <v>14926</v>
      </c>
      <c r="G13" s="11">
        <f>Credit_Losses!B13</f>
        <v>7966</v>
      </c>
      <c r="H13" s="18">
        <v>22080</v>
      </c>
      <c r="I13" s="18">
        <v>16779</v>
      </c>
      <c r="J13" s="27">
        <v>4.5999999999999999E-2</v>
      </c>
      <c r="K13" s="27">
        <v>0.192</v>
      </c>
      <c r="L13" s="27">
        <v>7.9699999999999993E-2</v>
      </c>
      <c r="M13" s="22">
        <f t="shared" si="0"/>
        <v>0.33202829559104863</v>
      </c>
      <c r="N13" s="22">
        <f t="shared" si="1"/>
        <v>0.17720336343818124</v>
      </c>
      <c r="O13" s="24">
        <f t="shared" si="2"/>
        <v>30028</v>
      </c>
      <c r="P13" s="22">
        <f t="shared" si="3"/>
        <v>0.1610961179157151</v>
      </c>
      <c r="Q13" s="23" t="s">
        <v>471</v>
      </c>
    </row>
    <row r="14" spans="1:17" x14ac:dyDescent="0.35">
      <c r="A14" s="9" t="s">
        <v>80</v>
      </c>
      <c r="B14" s="18">
        <v>82789</v>
      </c>
      <c r="C14" s="18">
        <v>28666</v>
      </c>
      <c r="D14" s="18">
        <v>54123</v>
      </c>
      <c r="E14" s="18">
        <v>44110</v>
      </c>
      <c r="F14" s="18">
        <v>17776</v>
      </c>
      <c r="G14" s="11">
        <f>Credit_Losses!B14</f>
        <v>10282</v>
      </c>
      <c r="H14" s="18">
        <v>25817</v>
      </c>
      <c r="I14" s="18">
        <v>19332</v>
      </c>
      <c r="J14" s="27">
        <v>4.2999999999999997E-2</v>
      </c>
      <c r="K14" s="27">
        <v>0.18099999999999999</v>
      </c>
      <c r="L14" s="27">
        <v>7.5399999999999995E-2</v>
      </c>
      <c r="M14" s="22">
        <f t="shared" si="0"/>
        <v>0.32843707850636511</v>
      </c>
      <c r="N14" s="22">
        <f t="shared" si="1"/>
        <v>0.18997468728636624</v>
      </c>
      <c r="O14" s="24">
        <f t="shared" si="2"/>
        <v>36347</v>
      </c>
      <c r="P14" s="22">
        <f t="shared" si="3"/>
        <v>0.15215447881280175</v>
      </c>
      <c r="Q14" s="23" t="s">
        <v>471</v>
      </c>
    </row>
    <row r="16" spans="1:17" x14ac:dyDescent="0.35">
      <c r="A16" s="7" t="s">
        <v>472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3" customWidth="1"/>
    <col min="2" max="17" width="15" customWidth="1"/>
    <col min="18" max="18" width="30" customWidth="1"/>
  </cols>
  <sheetData>
    <row r="1" spans="1:18" ht="18" x14ac:dyDescent="0.4">
      <c r="A1" s="1" t="s">
        <v>473</v>
      </c>
    </row>
    <row r="2" spans="1:18" x14ac:dyDescent="0.35">
      <c r="A2" s="7" t="s">
        <v>474</v>
      </c>
    </row>
    <row r="4" spans="1:18" ht="48" customHeight="1" x14ac:dyDescent="0.35">
      <c r="A4" s="8" t="s">
        <v>39</v>
      </c>
      <c r="B4" s="8" t="s">
        <v>475</v>
      </c>
      <c r="C4" s="8" t="s">
        <v>476</v>
      </c>
      <c r="D4" s="8" t="s">
        <v>477</v>
      </c>
      <c r="E4" s="8" t="s">
        <v>478</v>
      </c>
      <c r="F4" s="8" t="s">
        <v>479</v>
      </c>
      <c r="G4" s="8" t="s">
        <v>480</v>
      </c>
      <c r="H4" s="8" t="s">
        <v>481</v>
      </c>
      <c r="I4" s="8" t="s">
        <v>482</v>
      </c>
      <c r="J4" s="8" t="s">
        <v>483</v>
      </c>
      <c r="K4" s="8" t="s">
        <v>484</v>
      </c>
      <c r="L4" s="8" t="s">
        <v>485</v>
      </c>
      <c r="M4" s="8" t="s">
        <v>486</v>
      </c>
      <c r="N4" s="17" t="s">
        <v>69</v>
      </c>
      <c r="O4" s="17" t="s">
        <v>233</v>
      </c>
      <c r="P4" s="17" t="s">
        <v>238</v>
      </c>
      <c r="Q4" s="17" t="s">
        <v>243</v>
      </c>
      <c r="R4" s="8" t="s">
        <v>264</v>
      </c>
    </row>
    <row r="5" spans="1:18" x14ac:dyDescent="0.35">
      <c r="A5" s="9" t="s">
        <v>70</v>
      </c>
      <c r="B5" s="19"/>
      <c r="C5" s="35"/>
      <c r="D5" s="19"/>
      <c r="E5" s="19"/>
      <c r="F5" s="36">
        <v>0.08</v>
      </c>
      <c r="G5" s="36">
        <v>0.35</v>
      </c>
      <c r="H5" s="36">
        <v>0.4</v>
      </c>
      <c r="I5" s="36">
        <v>7.0000000000000007E-2</v>
      </c>
      <c r="J5" s="36">
        <v>0.1</v>
      </c>
      <c r="K5" s="36">
        <v>0</v>
      </c>
      <c r="L5" s="36">
        <v>1.19</v>
      </c>
      <c r="M5" s="36">
        <v>0.5</v>
      </c>
      <c r="N5" s="12">
        <f>Profitability!L5</f>
        <v>0.09</v>
      </c>
      <c r="O5" s="22" t="str">
        <f t="shared" ref="O5:O14" si="0">IF(OR(B5="",E5=""),"",B5/E5)</f>
        <v/>
      </c>
      <c r="P5" s="22" t="str">
        <f>IF(OR(B5=""),"",B5/AUM!B5)</f>
        <v/>
      </c>
      <c r="Q5" s="28">
        <f t="shared" ref="Q5:Q14" si="1">SUM(F5:K5)</f>
        <v>1.0000000000000002</v>
      </c>
      <c r="R5" s="23" t="s">
        <v>487</v>
      </c>
    </row>
    <row r="6" spans="1:18" x14ac:dyDescent="0.35">
      <c r="A6" s="9" t="s">
        <v>72</v>
      </c>
      <c r="B6" s="19"/>
      <c r="C6" s="35"/>
      <c r="D6" s="19"/>
      <c r="E6" s="19"/>
      <c r="F6" s="36">
        <v>0.12</v>
      </c>
      <c r="G6" s="36">
        <v>0.25</v>
      </c>
      <c r="H6" s="36">
        <v>0.45</v>
      </c>
      <c r="I6" s="36">
        <v>0.06</v>
      </c>
      <c r="J6" s="36">
        <v>0.12</v>
      </c>
      <c r="K6" s="36">
        <v>0</v>
      </c>
      <c r="L6" s="36">
        <v>1.2</v>
      </c>
      <c r="M6" s="36">
        <v>0.96</v>
      </c>
      <c r="N6" s="12">
        <f>Profitability!L6</f>
        <v>8.2400000000000001E-2</v>
      </c>
      <c r="O6" s="22" t="str">
        <f t="shared" si="0"/>
        <v/>
      </c>
      <c r="P6" s="22" t="str">
        <f>IF(OR(B6=""),"",B6/AUM!B6)</f>
        <v/>
      </c>
      <c r="Q6" s="28">
        <f t="shared" si="1"/>
        <v>1</v>
      </c>
      <c r="R6" s="23" t="s">
        <v>487</v>
      </c>
    </row>
    <row r="7" spans="1:18" x14ac:dyDescent="0.35">
      <c r="A7" s="9" t="s">
        <v>73</v>
      </c>
      <c r="B7" s="19"/>
      <c r="C7" s="35"/>
      <c r="D7" s="18">
        <v>13193</v>
      </c>
      <c r="E7" s="18">
        <v>101588</v>
      </c>
      <c r="F7" s="36">
        <v>0.13</v>
      </c>
      <c r="G7" s="36">
        <v>0.34</v>
      </c>
      <c r="H7" s="36">
        <v>0.36</v>
      </c>
      <c r="I7" s="36">
        <v>0.04</v>
      </c>
      <c r="J7" s="36">
        <v>0.13</v>
      </c>
      <c r="K7" s="36">
        <v>0</v>
      </c>
      <c r="L7" s="36">
        <v>0.51</v>
      </c>
      <c r="M7" s="36">
        <v>0.56999999999999995</v>
      </c>
      <c r="N7" s="12">
        <f>Profitability!L7</f>
        <v>8.2699999999999996E-2</v>
      </c>
      <c r="O7" s="22" t="str">
        <f t="shared" si="0"/>
        <v/>
      </c>
      <c r="P7" s="22" t="str">
        <f>IF(OR(B7=""),"",B7/AUM!B7)</f>
        <v/>
      </c>
      <c r="Q7" s="28">
        <f t="shared" si="1"/>
        <v>1</v>
      </c>
      <c r="R7" s="23" t="s">
        <v>488</v>
      </c>
    </row>
    <row r="8" spans="1:18" x14ac:dyDescent="0.35">
      <c r="A8" s="9" t="s">
        <v>74</v>
      </c>
      <c r="B8" s="18">
        <v>15725</v>
      </c>
      <c r="C8" s="35"/>
      <c r="D8" s="18">
        <v>21427</v>
      </c>
      <c r="E8" s="18">
        <v>129806</v>
      </c>
      <c r="F8" s="36">
        <v>0.17</v>
      </c>
      <c r="G8" s="36">
        <v>0.36</v>
      </c>
      <c r="H8" s="36">
        <v>0.36</v>
      </c>
      <c r="I8" s="36">
        <v>0.03</v>
      </c>
      <c r="J8" s="36">
        <v>0.05</v>
      </c>
      <c r="K8" s="36">
        <v>0.03</v>
      </c>
      <c r="L8" s="36">
        <v>2.2000000000000002</v>
      </c>
      <c r="M8" s="36">
        <v>0.54</v>
      </c>
      <c r="N8" s="12">
        <f>Profitability!L8</f>
        <v>8.3900000000000002E-2</v>
      </c>
      <c r="O8" s="22">
        <f t="shared" si="0"/>
        <v>0.12114232007765434</v>
      </c>
      <c r="P8" s="22">
        <f>IF(OR(B8=""),"",B8/AUM!B8)</f>
        <v>0.10686156585322759</v>
      </c>
      <c r="Q8" s="28">
        <f t="shared" si="1"/>
        <v>1</v>
      </c>
      <c r="R8" s="23" t="s">
        <v>489</v>
      </c>
    </row>
    <row r="9" spans="1:18" x14ac:dyDescent="0.35">
      <c r="A9" s="9" t="s">
        <v>75</v>
      </c>
      <c r="B9" s="18">
        <v>16485</v>
      </c>
      <c r="C9" s="36">
        <v>2.7</v>
      </c>
      <c r="D9" s="18">
        <v>25803</v>
      </c>
      <c r="E9" s="18">
        <v>131645</v>
      </c>
      <c r="F9" s="36">
        <v>0.2</v>
      </c>
      <c r="G9" s="36">
        <v>0.31</v>
      </c>
      <c r="H9" s="36">
        <v>0.35</v>
      </c>
      <c r="I9" s="36">
        <v>0.03</v>
      </c>
      <c r="J9" s="36">
        <v>7.0000000000000007E-2</v>
      </c>
      <c r="K9" s="36">
        <v>0.04</v>
      </c>
      <c r="L9" s="36">
        <v>2.16</v>
      </c>
      <c r="M9" s="36">
        <v>0.8</v>
      </c>
      <c r="N9" s="12">
        <f>Profitability!L9</f>
        <v>7.8399999999999997E-2</v>
      </c>
      <c r="O9" s="22">
        <f t="shared" si="0"/>
        <v>0.12522313798473167</v>
      </c>
      <c r="P9" s="22">
        <f>IF(OR(B9=""),"",B9/AUM!B9)</f>
        <v>0.10778243443807332</v>
      </c>
      <c r="Q9" s="28">
        <f t="shared" si="1"/>
        <v>1</v>
      </c>
      <c r="R9" s="23" t="s">
        <v>490</v>
      </c>
    </row>
    <row r="10" spans="1:18" x14ac:dyDescent="0.35">
      <c r="A10" s="9" t="s">
        <v>76</v>
      </c>
      <c r="B10" s="18">
        <v>10110</v>
      </c>
      <c r="C10" s="36">
        <v>1.34</v>
      </c>
      <c r="D10" s="18">
        <v>30800</v>
      </c>
      <c r="E10" s="19"/>
      <c r="F10" s="36">
        <v>0.19</v>
      </c>
      <c r="G10" s="36">
        <v>0.28000000000000003</v>
      </c>
      <c r="H10" s="36">
        <v>0.4</v>
      </c>
      <c r="I10" s="36">
        <v>0.02</v>
      </c>
      <c r="J10" s="36">
        <v>0.08</v>
      </c>
      <c r="K10" s="36">
        <v>0.03</v>
      </c>
      <c r="L10" s="36">
        <v>0.31</v>
      </c>
      <c r="M10" s="36">
        <v>0.32</v>
      </c>
      <c r="N10" s="12">
        <f>Profitability!L10</f>
        <v>6.8099999999999994E-2</v>
      </c>
      <c r="O10" s="22" t="str">
        <f t="shared" si="0"/>
        <v/>
      </c>
      <c r="P10" s="22">
        <f>IF(OR(B10=""),"",B10/AUM!B10)</f>
        <v>5.1202317525271962E-2</v>
      </c>
      <c r="Q10" s="28">
        <f t="shared" si="1"/>
        <v>1</v>
      </c>
      <c r="R10" s="23" t="s">
        <v>491</v>
      </c>
    </row>
    <row r="11" spans="1:18" x14ac:dyDescent="0.35">
      <c r="A11" s="9" t="s">
        <v>77</v>
      </c>
      <c r="B11" s="18">
        <v>11852</v>
      </c>
      <c r="C11" s="37"/>
      <c r="D11" s="18">
        <v>44666</v>
      </c>
      <c r="E11" s="19"/>
      <c r="F11" s="36">
        <v>0.21</v>
      </c>
      <c r="G11" s="36">
        <v>0.33</v>
      </c>
      <c r="H11" s="36">
        <v>0.34</v>
      </c>
      <c r="I11" s="36">
        <v>0.02</v>
      </c>
      <c r="J11" s="36">
        <v>0.09</v>
      </c>
      <c r="K11" s="36">
        <v>0.01</v>
      </c>
      <c r="L11" s="36">
        <v>0.93</v>
      </c>
      <c r="M11" s="36">
        <v>0.31</v>
      </c>
      <c r="N11" s="12">
        <f>Profitability!L11</f>
        <v>7.0400000000000004E-2</v>
      </c>
      <c r="O11" s="22" t="str">
        <f t="shared" si="0"/>
        <v/>
      </c>
      <c r="P11" s="22">
        <f>IF(OR(B11=""),"",B11/AUM!B11)</f>
        <v>4.7910291496044533E-2</v>
      </c>
      <c r="Q11" s="28">
        <f t="shared" si="1"/>
        <v>1</v>
      </c>
      <c r="R11" s="23" t="s">
        <v>492</v>
      </c>
    </row>
    <row r="12" spans="1:18" x14ac:dyDescent="0.35">
      <c r="A12" s="9" t="s">
        <v>78</v>
      </c>
      <c r="B12" s="18">
        <v>15668</v>
      </c>
      <c r="C12" s="36">
        <v>2.6</v>
      </c>
      <c r="D12" s="18">
        <v>60151</v>
      </c>
      <c r="E12" s="19"/>
      <c r="F12" s="36">
        <v>0.21</v>
      </c>
      <c r="G12" s="36">
        <v>0.3</v>
      </c>
      <c r="H12" s="36">
        <v>0.32</v>
      </c>
      <c r="I12" s="36">
        <v>0.01</v>
      </c>
      <c r="J12" s="36">
        <v>0.14000000000000001</v>
      </c>
      <c r="K12" s="36">
        <v>0.02</v>
      </c>
      <c r="L12" s="36">
        <v>0.59</v>
      </c>
      <c r="M12" s="36">
        <v>0.43</v>
      </c>
      <c r="N12" s="12">
        <f>Profitability!L12</f>
        <v>7.7399999999999997E-2</v>
      </c>
      <c r="O12" s="22" t="str">
        <f t="shared" si="0"/>
        <v/>
      </c>
      <c r="P12" s="22">
        <f>IF(OR(B12=""),"",B12/AUM!B12)</f>
        <v>4.7390469276953555E-2</v>
      </c>
      <c r="Q12" s="28">
        <f t="shared" si="1"/>
        <v>1</v>
      </c>
      <c r="R12" s="23" t="s">
        <v>493</v>
      </c>
    </row>
    <row r="13" spans="1:18" x14ac:dyDescent="0.35">
      <c r="A13" s="9" t="s">
        <v>79</v>
      </c>
      <c r="B13" s="24">
        <f>ROUND(2156*71400/8207,0)</f>
        <v>18757</v>
      </c>
      <c r="C13" s="36">
        <v>2.88</v>
      </c>
      <c r="D13" s="18">
        <v>71400</v>
      </c>
      <c r="E13" s="19"/>
      <c r="F13" s="36">
        <v>0.2</v>
      </c>
      <c r="G13" s="36">
        <v>0.28000000000000003</v>
      </c>
      <c r="H13" s="36">
        <v>0.35</v>
      </c>
      <c r="I13" s="36">
        <v>0.01</v>
      </c>
      <c r="J13" s="36">
        <v>0.12</v>
      </c>
      <c r="K13" s="36">
        <v>0.04</v>
      </c>
      <c r="L13" s="36">
        <v>0.56000000000000005</v>
      </c>
      <c r="M13" s="36">
        <v>0.56999999999999995</v>
      </c>
      <c r="N13" s="12">
        <f>Profitability!L13</f>
        <v>7.9699999999999993E-2</v>
      </c>
      <c r="O13" s="22" t="str">
        <f t="shared" si="0"/>
        <v/>
      </c>
      <c r="P13" s="22">
        <f>IF(OR(B13=""),"",B13/AUM!B13)</f>
        <v>4.5017412236806421E-2</v>
      </c>
      <c r="Q13" s="28">
        <f t="shared" si="1"/>
        <v>1</v>
      </c>
      <c r="R13" s="23" t="s">
        <v>494</v>
      </c>
    </row>
    <row r="14" spans="1:18" x14ac:dyDescent="0.35">
      <c r="A14" s="9" t="s">
        <v>80</v>
      </c>
      <c r="B14" s="18">
        <v>15020</v>
      </c>
      <c r="C14" s="36">
        <v>2.2799999999999998</v>
      </c>
      <c r="D14" s="18">
        <v>68533</v>
      </c>
      <c r="E14" s="19"/>
      <c r="F14" s="36">
        <v>0.16</v>
      </c>
      <c r="G14" s="36">
        <v>0.3</v>
      </c>
      <c r="H14" s="36">
        <v>0.37</v>
      </c>
      <c r="I14" s="36">
        <v>0.01</v>
      </c>
      <c r="J14" s="36">
        <v>0.11</v>
      </c>
      <c r="K14" s="36">
        <v>0.05</v>
      </c>
      <c r="L14" s="36">
        <v>0.36</v>
      </c>
      <c r="M14" s="36">
        <v>0.49</v>
      </c>
      <c r="N14" s="12">
        <f>Profitability!L14</f>
        <v>7.5399999999999995E-2</v>
      </c>
      <c r="O14" s="22" t="str">
        <f t="shared" si="0"/>
        <v/>
      </c>
      <c r="P14" s="22">
        <f>IF(OR(B14=""),"",B14/AUM!B14)</f>
        <v>2.9452424138438158E-2</v>
      </c>
      <c r="Q14" s="28">
        <f t="shared" si="1"/>
        <v>1</v>
      </c>
      <c r="R14" s="23" t="s">
        <v>495</v>
      </c>
    </row>
    <row r="16" spans="1:18" x14ac:dyDescent="0.35">
      <c r="A16" s="7" t="s">
        <v>496</v>
      </c>
    </row>
    <row r="17" spans="1:1" x14ac:dyDescent="0.35">
      <c r="A17" s="7" t="s">
        <v>497</v>
      </c>
    </row>
    <row r="18" spans="1:1" x14ac:dyDescent="0.35">
      <c r="A18" s="7" t="s">
        <v>498</v>
      </c>
    </row>
    <row r="19" spans="1:1" x14ac:dyDescent="0.35">
      <c r="A19" s="7" t="s">
        <v>499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8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22" customWidth="1"/>
    <col min="3" max="3" width="64" customWidth="1"/>
    <col min="4" max="4" width="40" customWidth="1"/>
    <col min="5" max="5" width="22" customWidth="1"/>
  </cols>
  <sheetData>
    <row r="1" spans="1:5" ht="18" x14ac:dyDescent="0.4">
      <c r="A1" s="1" t="s">
        <v>500</v>
      </c>
    </row>
    <row r="3" spans="1:5" x14ac:dyDescent="0.35">
      <c r="A3" s="8" t="s">
        <v>501</v>
      </c>
      <c r="B3" s="8" t="s">
        <v>502</v>
      </c>
      <c r="C3" s="8" t="s">
        <v>503</v>
      </c>
      <c r="D3" s="8" t="s">
        <v>504</v>
      </c>
      <c r="E3" s="8" t="s">
        <v>264</v>
      </c>
    </row>
    <row r="4" spans="1:5" ht="29" x14ac:dyDescent="0.35">
      <c r="A4" s="15" t="s">
        <v>505</v>
      </c>
      <c r="B4" s="15" t="s">
        <v>506</v>
      </c>
      <c r="C4" s="15" t="s">
        <v>507</v>
      </c>
      <c r="D4" s="15" t="s">
        <v>508</v>
      </c>
      <c r="E4" s="15" t="s">
        <v>509</v>
      </c>
    </row>
    <row r="5" spans="1:5" ht="29" x14ac:dyDescent="0.35">
      <c r="A5" s="15" t="s">
        <v>70</v>
      </c>
      <c r="B5" s="15" t="s">
        <v>510</v>
      </c>
      <c r="C5" s="15" t="s">
        <v>511</v>
      </c>
      <c r="D5" s="15" t="s">
        <v>512</v>
      </c>
      <c r="E5" s="15" t="s">
        <v>513</v>
      </c>
    </row>
    <row r="6" spans="1:5" ht="43.5" x14ac:dyDescent="0.35">
      <c r="A6" s="15" t="s">
        <v>72</v>
      </c>
      <c r="B6" s="15" t="s">
        <v>510</v>
      </c>
      <c r="C6" s="15" t="s">
        <v>514</v>
      </c>
      <c r="D6" s="15" t="s">
        <v>515</v>
      </c>
      <c r="E6" s="15" t="s">
        <v>516</v>
      </c>
    </row>
    <row r="7" spans="1:5" ht="29" x14ac:dyDescent="0.35">
      <c r="A7" s="15" t="s">
        <v>73</v>
      </c>
      <c r="B7" s="15" t="s">
        <v>517</v>
      </c>
      <c r="C7" s="15" t="s">
        <v>518</v>
      </c>
      <c r="D7" s="15" t="s">
        <v>519</v>
      </c>
      <c r="E7" s="15" t="s">
        <v>520</v>
      </c>
    </row>
    <row r="8" spans="1:5" ht="29" x14ac:dyDescent="0.35">
      <c r="A8" s="15" t="s">
        <v>73</v>
      </c>
      <c r="B8" s="15" t="s">
        <v>521</v>
      </c>
      <c r="C8" s="15" t="s">
        <v>522</v>
      </c>
      <c r="D8" s="15" t="s">
        <v>523</v>
      </c>
      <c r="E8" s="15" t="s">
        <v>524</v>
      </c>
    </row>
    <row r="9" spans="1:5" ht="43.5" x14ac:dyDescent="0.35">
      <c r="A9" s="15" t="s">
        <v>74</v>
      </c>
      <c r="B9" s="15" t="s">
        <v>525</v>
      </c>
      <c r="C9" s="15" t="s">
        <v>526</v>
      </c>
      <c r="D9" s="15" t="s">
        <v>527</v>
      </c>
      <c r="E9" s="15" t="s">
        <v>528</v>
      </c>
    </row>
    <row r="10" spans="1:5" ht="29" x14ac:dyDescent="0.35">
      <c r="A10" s="15" t="s">
        <v>74</v>
      </c>
      <c r="B10" s="15" t="s">
        <v>529</v>
      </c>
      <c r="C10" s="15" t="s">
        <v>530</v>
      </c>
      <c r="D10" s="15" t="s">
        <v>531</v>
      </c>
      <c r="E10" s="15" t="s">
        <v>532</v>
      </c>
    </row>
    <row r="11" spans="1:5" ht="29" x14ac:dyDescent="0.35">
      <c r="A11" s="15" t="s">
        <v>74</v>
      </c>
      <c r="B11" s="15" t="s">
        <v>533</v>
      </c>
      <c r="C11" s="15" t="s">
        <v>534</v>
      </c>
      <c r="D11" s="15" t="s">
        <v>535</v>
      </c>
      <c r="E11" s="15" t="s">
        <v>528</v>
      </c>
    </row>
    <row r="12" spans="1:5" ht="29" x14ac:dyDescent="0.35">
      <c r="A12" s="15" t="s">
        <v>75</v>
      </c>
      <c r="B12" s="15" t="s">
        <v>536</v>
      </c>
      <c r="C12" s="15" t="s">
        <v>537</v>
      </c>
      <c r="D12" s="15" t="s">
        <v>538</v>
      </c>
      <c r="E12" s="15" t="s">
        <v>448</v>
      </c>
    </row>
    <row r="13" spans="1:5" ht="29" x14ac:dyDescent="0.35">
      <c r="A13" s="15" t="s">
        <v>75</v>
      </c>
      <c r="B13" s="15" t="s">
        <v>539</v>
      </c>
      <c r="C13" s="15" t="s">
        <v>540</v>
      </c>
      <c r="D13" s="15" t="s">
        <v>541</v>
      </c>
      <c r="E13" s="15" t="s">
        <v>542</v>
      </c>
    </row>
    <row r="14" spans="1:5" ht="43.5" x14ac:dyDescent="0.35">
      <c r="A14" s="15" t="s">
        <v>75</v>
      </c>
      <c r="B14" s="15" t="s">
        <v>543</v>
      </c>
      <c r="C14" s="15" t="s">
        <v>544</v>
      </c>
      <c r="D14" s="15" t="s">
        <v>545</v>
      </c>
      <c r="E14" s="15" t="s">
        <v>542</v>
      </c>
    </row>
    <row r="15" spans="1:5" ht="29" x14ac:dyDescent="0.35">
      <c r="A15" s="15" t="s">
        <v>75</v>
      </c>
      <c r="B15" s="15" t="s">
        <v>546</v>
      </c>
      <c r="C15" s="15" t="s">
        <v>547</v>
      </c>
      <c r="D15" s="15" t="s">
        <v>548</v>
      </c>
      <c r="E15" s="15" t="s">
        <v>549</v>
      </c>
    </row>
    <row r="16" spans="1:5" ht="29" x14ac:dyDescent="0.35">
      <c r="A16" s="15" t="s">
        <v>76</v>
      </c>
      <c r="B16" s="15" t="s">
        <v>550</v>
      </c>
      <c r="C16" s="15" t="s">
        <v>551</v>
      </c>
      <c r="D16" s="15" t="s">
        <v>552</v>
      </c>
      <c r="E16" s="15" t="s">
        <v>553</v>
      </c>
    </row>
    <row r="17" spans="1:5" ht="43.5" x14ac:dyDescent="0.35">
      <c r="A17" s="15" t="s">
        <v>76</v>
      </c>
      <c r="B17" s="15" t="s">
        <v>543</v>
      </c>
      <c r="C17" s="15" t="s">
        <v>554</v>
      </c>
      <c r="D17" s="15" t="s">
        <v>545</v>
      </c>
      <c r="E17" s="15" t="s">
        <v>555</v>
      </c>
    </row>
    <row r="18" spans="1:5" ht="29" x14ac:dyDescent="0.35">
      <c r="A18" s="15" t="s">
        <v>76</v>
      </c>
      <c r="B18" s="15" t="s">
        <v>556</v>
      </c>
      <c r="C18" s="15" t="s">
        <v>557</v>
      </c>
      <c r="D18" s="15" t="s">
        <v>558</v>
      </c>
      <c r="E18" s="15" t="s">
        <v>559</v>
      </c>
    </row>
    <row r="19" spans="1:5" x14ac:dyDescent="0.35">
      <c r="A19" s="15" t="s">
        <v>77</v>
      </c>
      <c r="B19" s="15" t="s">
        <v>560</v>
      </c>
      <c r="C19" s="15" t="s">
        <v>561</v>
      </c>
      <c r="D19" s="15" t="s">
        <v>562</v>
      </c>
      <c r="E19" s="15" t="s">
        <v>563</v>
      </c>
    </row>
    <row r="20" spans="1:5" ht="29" x14ac:dyDescent="0.35">
      <c r="A20" s="15" t="s">
        <v>78</v>
      </c>
      <c r="B20" s="15" t="s">
        <v>564</v>
      </c>
      <c r="C20" s="15" t="s">
        <v>565</v>
      </c>
      <c r="D20" s="15" t="s">
        <v>566</v>
      </c>
      <c r="E20" s="15" t="s">
        <v>563</v>
      </c>
    </row>
    <row r="21" spans="1:5" ht="29" x14ac:dyDescent="0.35">
      <c r="A21" s="15" t="s">
        <v>78</v>
      </c>
      <c r="B21" s="15" t="s">
        <v>567</v>
      </c>
      <c r="C21" s="15" t="s">
        <v>568</v>
      </c>
      <c r="D21" s="15" t="s">
        <v>569</v>
      </c>
      <c r="E21" s="15" t="s">
        <v>570</v>
      </c>
    </row>
    <row r="22" spans="1:5" ht="29" x14ac:dyDescent="0.35">
      <c r="A22" s="15" t="s">
        <v>78</v>
      </c>
      <c r="B22" s="15" t="s">
        <v>571</v>
      </c>
      <c r="C22" s="15" t="s">
        <v>572</v>
      </c>
      <c r="D22" s="15" t="s">
        <v>573</v>
      </c>
      <c r="E22" s="15" t="s">
        <v>574</v>
      </c>
    </row>
    <row r="23" spans="1:5" ht="29" x14ac:dyDescent="0.35">
      <c r="A23" s="15" t="s">
        <v>79</v>
      </c>
      <c r="B23" s="15" t="s">
        <v>575</v>
      </c>
      <c r="C23" s="15" t="s">
        <v>576</v>
      </c>
      <c r="D23" s="15" t="s">
        <v>577</v>
      </c>
      <c r="E23" s="15" t="s">
        <v>433</v>
      </c>
    </row>
    <row r="24" spans="1:5" ht="29" x14ac:dyDescent="0.35">
      <c r="A24" s="15" t="s">
        <v>80</v>
      </c>
      <c r="B24" s="15" t="s">
        <v>578</v>
      </c>
      <c r="C24" s="15" t="s">
        <v>579</v>
      </c>
      <c r="D24" s="15" t="s">
        <v>580</v>
      </c>
      <c r="E24" s="15" t="s">
        <v>581</v>
      </c>
    </row>
    <row r="25" spans="1:5" x14ac:dyDescent="0.35">
      <c r="A25" s="15" t="s">
        <v>80</v>
      </c>
      <c r="B25" s="15" t="s">
        <v>582</v>
      </c>
      <c r="C25" s="15" t="s">
        <v>583</v>
      </c>
      <c r="D25" s="15" t="s">
        <v>584</v>
      </c>
      <c r="E25" s="15" t="s">
        <v>366</v>
      </c>
    </row>
    <row r="26" spans="1:5" ht="29" x14ac:dyDescent="0.35">
      <c r="A26" s="15" t="s">
        <v>80</v>
      </c>
      <c r="B26" s="15" t="s">
        <v>585</v>
      </c>
      <c r="C26" s="15" t="s">
        <v>586</v>
      </c>
      <c r="D26" s="15" t="s">
        <v>587</v>
      </c>
      <c r="E26" s="15" t="s">
        <v>588</v>
      </c>
    </row>
    <row r="27" spans="1:5" x14ac:dyDescent="0.35">
      <c r="A27" s="15" t="s">
        <v>80</v>
      </c>
      <c r="B27" s="15" t="s">
        <v>589</v>
      </c>
      <c r="C27" s="15" t="s">
        <v>590</v>
      </c>
      <c r="D27" s="15" t="s">
        <v>591</v>
      </c>
      <c r="E27" s="15" t="s">
        <v>592</v>
      </c>
    </row>
    <row r="28" spans="1:5" x14ac:dyDescent="0.35">
      <c r="A28" s="15" t="s">
        <v>80</v>
      </c>
      <c r="B28" s="15" t="s">
        <v>593</v>
      </c>
      <c r="C28" s="15" t="s">
        <v>594</v>
      </c>
      <c r="D28" s="15" t="s">
        <v>595</v>
      </c>
      <c r="E28" s="15" t="s">
        <v>596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8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60" customWidth="1"/>
    <col min="3" max="3" width="100" customWidth="1"/>
  </cols>
  <sheetData>
    <row r="1" spans="1:3" ht="18" x14ac:dyDescent="0.4">
      <c r="A1" s="1" t="s">
        <v>597</v>
      </c>
    </row>
    <row r="3" spans="1:3" x14ac:dyDescent="0.35">
      <c r="A3" s="38" t="s">
        <v>598</v>
      </c>
      <c r="B3" s="38" t="s">
        <v>599</v>
      </c>
      <c r="C3" s="38" t="s">
        <v>600</v>
      </c>
    </row>
    <row r="4" spans="1:3" x14ac:dyDescent="0.35">
      <c r="A4" s="15" t="s">
        <v>601</v>
      </c>
      <c r="B4" s="15" t="s">
        <v>602</v>
      </c>
      <c r="C4" s="15" t="s">
        <v>603</v>
      </c>
    </row>
    <row r="5" spans="1:3" ht="29" x14ac:dyDescent="0.35">
      <c r="A5" s="15" t="s">
        <v>604</v>
      </c>
      <c r="B5" s="15" t="s">
        <v>605</v>
      </c>
      <c r="C5" s="15" t="s">
        <v>606</v>
      </c>
    </row>
    <row r="6" spans="1:3" ht="29" x14ac:dyDescent="0.35">
      <c r="A6" s="15" t="s">
        <v>607</v>
      </c>
      <c r="B6" s="15" t="s">
        <v>608</v>
      </c>
      <c r="C6" s="15" t="s">
        <v>609</v>
      </c>
    </row>
    <row r="7" spans="1:3" x14ac:dyDescent="0.35">
      <c r="A7" s="15" t="s">
        <v>610</v>
      </c>
      <c r="B7" s="15" t="s">
        <v>611</v>
      </c>
      <c r="C7" s="15" t="s">
        <v>612</v>
      </c>
    </row>
    <row r="8" spans="1:3" ht="29" x14ac:dyDescent="0.35">
      <c r="A8" s="15" t="s">
        <v>613</v>
      </c>
      <c r="B8" s="15" t="s">
        <v>614</v>
      </c>
      <c r="C8" s="15" t="s">
        <v>615</v>
      </c>
    </row>
    <row r="9" spans="1:3" ht="29" x14ac:dyDescent="0.35">
      <c r="A9" s="15" t="s">
        <v>616</v>
      </c>
      <c r="B9" s="15" t="s">
        <v>617</v>
      </c>
      <c r="C9" s="15" t="s">
        <v>618</v>
      </c>
    </row>
    <row r="10" spans="1:3" ht="29" x14ac:dyDescent="0.35">
      <c r="A10" s="15" t="s">
        <v>619</v>
      </c>
      <c r="B10" s="15" t="s">
        <v>620</v>
      </c>
      <c r="C10" s="15" t="s">
        <v>621</v>
      </c>
    </row>
    <row r="11" spans="1:3" x14ac:dyDescent="0.35">
      <c r="A11" s="15" t="s">
        <v>622</v>
      </c>
      <c r="B11" s="15" t="s">
        <v>623</v>
      </c>
      <c r="C11" s="15" t="s">
        <v>624</v>
      </c>
    </row>
    <row r="12" spans="1:3" ht="29" x14ac:dyDescent="0.35">
      <c r="A12" s="15" t="s">
        <v>625</v>
      </c>
      <c r="B12" s="15" t="s">
        <v>626</v>
      </c>
      <c r="C12" s="15" t="s">
        <v>627</v>
      </c>
    </row>
    <row r="13" spans="1:3" ht="29" x14ac:dyDescent="0.35">
      <c r="A13" s="15" t="s">
        <v>628</v>
      </c>
      <c r="B13" s="15" t="s">
        <v>629</v>
      </c>
      <c r="C13" s="15" t="s">
        <v>630</v>
      </c>
    </row>
    <row r="14" spans="1:3" ht="29" x14ac:dyDescent="0.35">
      <c r="A14" s="15" t="s">
        <v>631</v>
      </c>
      <c r="B14" s="15" t="s">
        <v>632</v>
      </c>
      <c r="C14" s="15" t="s">
        <v>633</v>
      </c>
    </row>
    <row r="15" spans="1:3" ht="29" x14ac:dyDescent="0.35">
      <c r="A15" s="15" t="s">
        <v>634</v>
      </c>
      <c r="B15" s="15" t="s">
        <v>635</v>
      </c>
      <c r="C15" s="15" t="s">
        <v>636</v>
      </c>
    </row>
    <row r="16" spans="1:3" ht="29" x14ac:dyDescent="0.35">
      <c r="A16" s="15" t="s">
        <v>637</v>
      </c>
      <c r="B16" s="15" t="s">
        <v>638</v>
      </c>
      <c r="C16" s="15" t="s">
        <v>639</v>
      </c>
    </row>
    <row r="17" spans="1:3" x14ac:dyDescent="0.35">
      <c r="A17" s="15" t="s">
        <v>640</v>
      </c>
      <c r="B17" s="15" t="s">
        <v>641</v>
      </c>
      <c r="C17" s="15" t="s">
        <v>642</v>
      </c>
    </row>
    <row r="18" spans="1:3" x14ac:dyDescent="0.35">
      <c r="A18" s="15" t="s">
        <v>643</v>
      </c>
      <c r="B18" s="15" t="s">
        <v>644</v>
      </c>
      <c r="C18" s="15" t="s">
        <v>645</v>
      </c>
    </row>
    <row r="19" spans="1:3" ht="29" x14ac:dyDescent="0.35">
      <c r="A19" s="15" t="s">
        <v>646</v>
      </c>
      <c r="B19" s="15" t="s">
        <v>647</v>
      </c>
      <c r="C19" s="15" t="s">
        <v>648</v>
      </c>
    </row>
    <row r="20" spans="1:3" x14ac:dyDescent="0.35">
      <c r="A20" s="15" t="s">
        <v>649</v>
      </c>
      <c r="B20" s="15" t="s">
        <v>650</v>
      </c>
      <c r="C20" s="15" t="s">
        <v>651</v>
      </c>
    </row>
    <row r="21" spans="1:3" ht="29" x14ac:dyDescent="0.35">
      <c r="A21" s="15" t="s">
        <v>652</v>
      </c>
      <c r="B21" s="15" t="s">
        <v>653</v>
      </c>
      <c r="C21" s="15" t="s">
        <v>654</v>
      </c>
    </row>
    <row r="22" spans="1:3" ht="29" x14ac:dyDescent="0.35">
      <c r="A22" s="15" t="s">
        <v>655</v>
      </c>
      <c r="B22" s="15" t="s">
        <v>656</v>
      </c>
      <c r="C22" s="15" t="s">
        <v>657</v>
      </c>
    </row>
    <row r="23" spans="1:3" ht="29" x14ac:dyDescent="0.35">
      <c r="A23" s="15" t="s">
        <v>658</v>
      </c>
      <c r="B23" s="15" t="s">
        <v>659</v>
      </c>
      <c r="C23" s="15" t="s">
        <v>660</v>
      </c>
    </row>
    <row r="25" spans="1:3" x14ac:dyDescent="0.35">
      <c r="A25" s="2" t="s">
        <v>661</v>
      </c>
    </row>
    <row r="26" spans="1:3" x14ac:dyDescent="0.35">
      <c r="A26" t="s">
        <v>662</v>
      </c>
    </row>
    <row r="27" spans="1:3" x14ac:dyDescent="0.35">
      <c r="A27" t="s">
        <v>663</v>
      </c>
    </row>
    <row r="28" spans="1:3" x14ac:dyDescent="0.35">
      <c r="A28" t="s">
        <v>664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Master_Dataset</vt:lpstr>
      <vt:lpstr>Formulas_Guide</vt:lpstr>
      <vt:lpstr>AUM</vt:lpstr>
      <vt:lpstr>Segment_AUM</vt:lpstr>
      <vt:lpstr>Asset_Quality</vt:lpstr>
      <vt:lpstr>Stage_ECL</vt:lpstr>
      <vt:lpstr>Credit_Losses</vt:lpstr>
      <vt:lpstr>Capital</vt:lpstr>
      <vt:lpstr>Profitability</vt:lpstr>
      <vt:lpstr>Liquidity</vt:lpstr>
      <vt:lpstr>Risk_Notes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akriti kachroo</dc:creator>
  <dc:description/>
  <cp:lastModifiedBy>Akriti Kachroo</cp:lastModifiedBy>
  <cp:revision>0</cp:revision>
  <dcterms:created xsi:type="dcterms:W3CDTF">2026-10-11T15:36:39Z</dcterms:created>
  <dcterms:modified xsi:type="dcterms:W3CDTF">2026-10-11T15:39:53Z</dcterms:modified>
  <dc:language>en-US</dc:language>
</cp:coreProperties>
</file>